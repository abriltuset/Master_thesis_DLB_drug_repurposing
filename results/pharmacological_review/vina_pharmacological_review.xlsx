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f75cd6c4c443a4" /></Relationships>
</file>

<file path=xl/workbook.xml><?xml version="1.0" encoding="utf-8"?>
<x:workbook xmlns:x="http://schemas.openxmlformats.org/spreadsheetml/2006/main">
  <x:sheets>
    <x:sheet xmlns:r="http://schemas.openxmlformats.org/officeDocument/2006/relationships" name="Vina hits review" sheetId="1" r:id="Re8b38b39d3da4fb9"/>
    <x:sheet xmlns:r="http://schemas.openxmlformats.org/officeDocument/2006/relationships" name="Summary" sheetId="2" r:id="Re6b336a3ebf94bd4"/>
    <x:sheet xmlns:r="http://schemas.openxmlformats.org/officeDocument/2006/relationships" name="Method" sheetId="3" r:id="Re33e77f67a43414a"/>
    <x:sheet xmlns:r="http://schemas.openxmlformats.org/officeDocument/2006/relationships" name="Final prioritization" sheetId="4" r:id="R48e8b4df16034a3c"/>
  </x:sheets>
</x:workbook>
</file>

<file path=xl/sharedStrings.xml><?xml version="1.0" encoding="utf-8"?>
<x:sst xmlns:x="http://schemas.openxmlformats.org/spreadsheetml/2006/main">
  <x:si>
    <x:t xml:space="preserve">COMPUTATIONAL OUTPUTS</x:t>
  </x:si>
  <x:si>
    <x:t xml:space="preserve">HF1 · REGULATORY WITHDRAWAL</x:t>
  </x:si>
  <x:si>
    <x:t xml:space="preserve">HF2 · SYSTEMIC EXPOSURE</x:t>
  </x:si>
  <x:si>
    <x:t xml:space="preserve">HF3 · CHRONIC-USE FIT IN DLB</x:t>
  </x:si>
  <x:si>
    <x:t xml:space="preserve">HF4 · CNS / BRAIN PENETRATION</x:t>
  </x:si>
  <x:si>
    <x:t xml:space="preserve">SUPPORTING mGluR5 CONTEXT</x:t>
  </x:si>
  <x:si>
    <x:t xml:space="preserve">ELIGIBILITY</x:t>
  </x:si>
  <x:si>
    <x:t xml:space="preserve">Vina rank</x:t>
  </x:si>
  <x:si>
    <x:t xml:space="preserve">ChEMBL ID</x:t>
  </x:si>
  <x:si>
    <x:t xml:space="preserve">Drug</x:t>
  </x:si>
  <x:si>
    <x:t xml:space="preserve">Vina score (kcal/mol)</x:t>
  </x:si>
  <x:si>
    <x:t xml:space="preserve">BBB Martins probability</x:t>
  </x:si>
  <x:si>
    <x:t xml:space="preserve">Withdrawn flag</x:t>
  </x:si>
  <x:si>
    <x:t xml:space="preserve">MW</x:t>
  </x:si>
  <x:si>
    <x:t xml:space="preserve">cLogP</x:t>
  </x:si>
  <x:si>
    <x:t xml:space="preserve">PSA</x:t>
  </x:si>
  <x:si>
    <x:t xml:space="preserve">Rotatable bonds</x:t>
  </x:si>
  <x:si>
    <x:t xml:space="preserve">First approval (ChEMBL)</x:t>
  </x:si>
  <x:si>
    <x:t xml:space="preserve">Withdrawal review</x:t>
  </x:si>
  <x:si>
    <x:t xml:space="preserve">Withdrawal reason</x:t>
  </x:si>
  <x:si>
    <x:t xml:space="preserve">Source</x:t>
  </x:si>
  <x:si>
    <x:t xml:space="preserve">Systemic exposure</x:t>
  </x:si>
  <x:si>
    <x:t xml:space="preserve">Administration route</x:t>
  </x:si>
  <x:si>
    <x:t xml:space="preserve">Safety / DLB reason</x:t>
  </x:si>
  <x:si>
    <x:t xml:space="preserve">Translational suitability</x:t>
  </x:si>
  <x:si>
    <x:t xml:space="preserve">CNS evidence</x:t>
  </x:si>
  <x:si>
    <x:t xml:space="preserve">CNS source</x:t>
  </x:si>
  <x:si>
    <x:t xml:space="preserve">Brain penetration</x:t>
  </x:si>
  <x:si>
    <x:t xml:space="preserve">mGluR5 evidence</x:t>
  </x:si>
  <x:si>
    <x:t xml:space="preserve">mGluR5 source</x:t>
  </x:si>
  <x:si>
    <x:t xml:space="preserve">Eligibility</x:t>
  </x:si>
  <x:si>
    <x:t xml:space="preserve">Exclusion reason</x:t>
  </x:si>
  <x:si>
    <x:t xml:space="preserve">CHEMBL1643895</x:t>
  </x:si>
  <x:si>
    <x:t xml:space="preserve">RAMOSETRON</x:t>
  </x:si>
  <x:si>
    <x:t xml:space="preserve">not_applicable</x:t>
  </x:si>
  <x:si>
    <x:t xml:space="preserve">yes</x:t>
  </x:si>
  <x:si>
    <x:t xml:space="preserve">oral; intravenous</x:t>
  </x:si>
  <x:si>
    <x:t xml:space="preserve">https://pubmed.ncbi.nlm.nih.gov/18401578/ ; https://pubmed.ncbi.nlm.nih.gov/26558626/</x:t>
  </x:si>
  <x:si>
    <x:t xml:space="preserve">Constipation and hard stool were increased versus placebo. This is relevant to DLB because autonomic gastrointestinal dysfunction/constipation can already be clinically important, but the available safety signal was not considered an automatic barrier to chronic repurposing.</x:t>
  </x:si>
  <x:si>
    <x:t xml:space="preserve">caution</x:t>
  </x:si>
  <x:si>
    <x:t xml:space="preserve">https://doi.org/10.1186/s12876-017-0734-2</x:t>
  </x:si>
  <x:si>
    <x:t xml:space="preserve">animal</x:t>
  </x:si>
  <x:si>
    <x:t xml:space="preserve">https://pubmed.ncbi.nlm.nih.gov/12195819/</x:t>
  </x:si>
  <x:si>
    <x:t xml:space="preserve">caveat</x:t>
  </x:si>
  <x:si>
    <x:t xml:space="preserve">none_identified</x:t>
  </x:si>
  <x:si>
    <x:t xml:space="preserve">eligible</x:t>
  </x:si>
  <x:si>
    <x:t xml:space="preserve">coherent</x:t>
  </x:si>
  <x:si>
    <x:t xml:space="preserve">Animal PK data indicate extremely low brain distribution, potentially related to P-gp efflux. This conflicts with the BBB-positive model prediction and is a major translational caveat, but no direct in vivo human evidence of negligible brain penetration was identified.</x:t>
  </x:si>
  <x:si>
    <x:t xml:space="preserve">CHEMBL276520</x:t>
  </x:si>
  <x:si>
    <x:t xml:space="preserve">INDALPINE</x:t>
  </x:si>
  <x:si>
    <x:t xml:space="preserve">safety_related</x:t>
  </x:si>
  <x:si>
    <x:t xml:space="preserve">Withdrawn after severe hematologic toxicity, including neutropenia/agranulocytosis.</x:t>
  </x:si>
  <x:si>
    <x:t xml:space="preserve">https://pubmed.ncbi.nlm.nih.gov/4095692/ ; https://pubchem.ncbi.nlm.nih.gov/compound/44668</x:t>
  </x:si>
  <x:si>
    <x:t xml:space="preserve">not_evaluated</x:t>
  </x:si>
  <x:si>
    <x:t xml:space="preserve">excluded</x:t>
  </x:si>
  <x:si>
    <x:t xml:space="preserve">HF1: safety-related market withdrawal due to severe hematological toxicity (neutropenia/agranulocytosis).</x:t>
  </x:si>
  <x:si>
    <x:t xml:space="preserve">CHEMBL1801800</x:t>
  </x:si>
  <x:si>
    <x:t xml:space="preserve">METABROMSALAN</x:t>
  </x:si>
  <x:si>
    <x:t xml:space="preserve">All drug products containing metabromsalan are listed as withdrawn/removed for safety. Halogenated salicylanilides were associated with strong photosensitization and cross-sensitization.</x:t>
  </x:si>
  <x:si>
    <x:t xml:space="preserve">https://www.ecfr.gov/current/title-21/chapter-I/subchapter-G/part-216/subpart-D/section-216.24 ; https://www.ecfr.gov/current/title-21/chapter-I/subchapter-G/part-700/subpart-B/section-700.15</x:t>
  </x:si>
  <x:si>
    <x:t xml:space="preserve">HF1: safety-related market withdrawal due to severe photosensitization/cross-sensitization.</x:t>
  </x:si>
  <x:si>
    <x:t xml:space="preserve">CHEMBL490</x:t>
  </x:si>
  <x:si>
    <x:t xml:space="preserve">PAROXETINE</x:t>
  </x:si>
  <x:si>
    <x:t xml:space="preserve">oral</x:t>
  </x:si>
  <x:si>
    <x:t xml:space="preserve">https://dailymed.nlm.nih.gov/dailymed/drugInfo.cfm?setid=ef3b5cbe-f9e1-c1ac-79da-cfe14e3a7e7e</x:t>
  </x:si>
  <x:si>
    <x:t xml:space="preserve">Strong anticholinergic activity and sedation/orthostatic hypotension are undesirable in older adults with cognitive and fall vulnerability. Hyponatremia can also present with confusion and unsteadiness.</x:t>
  </x:si>
  <x:si>
    <x:t xml:space="preserve">unfavorable</x:t>
  </x:si>
  <x:si>
    <x:t xml:space="preserve">https://dailymed.nlm.nih.gov/dailymed/drugInfo.cfm?setid=ef3b5cbe-f9e1-c1ac-79da-cfe14e3a7e7e ; https://pmc.ncbi.nlm.nih.gov/articles/PMC12478568/</x:t>
  </x:si>
  <x:si>
    <x:t xml:space="preserve">HF3: unfavorable chronic-use profile in DLB due to substantial anticholinergic burden and risks relevant to cognition, orthostasis and falls.</x:t>
  </x:si>
  <x:si>
    <x:t xml:space="preserve">CHEMBL973</x:t>
  </x:si>
  <x:si>
    <x:t xml:space="preserve">TERIFLUNOMIDE</x:t>
  </x:si>
  <x:si>
    <x:t xml:space="preserve">https://www.accessdata.fda.gov/drugsatfda_docs/label/2026/202992s018lbl.pdf</x:t>
  </x:si>
  <x:si>
    <x:t xml:space="preserve">Boxed warning for hepatotoxicity including acute liver failure, with liver monitoring requirements, very long elimination and an accelerated elimination procedure may be required. This is a substantial chronic-safety burden but is monitorable in an approved chronic-use setting.</x:t>
  </x:si>
  <x:si>
    <x:t xml:space="preserve">human</x:t>
  </x:si>
  <x:si>
    <x:t xml:space="preserve">https://doi.org/10.1007/s40263-023-00985-x</x:t>
  </x:si>
  <x:si>
    <x:t xml:space="preserve">pass</x:t>
  </x:si>
  <x:si>
    <x:t xml:space="preserve">CHEMBL960</x:t>
  </x:si>
  <x:si>
    <x:t xml:space="preserve">LEFLUNOMIDE</x:t>
  </x:si>
  <x:si>
    <x:t xml:space="preserve">no</x:t>
  </x:si>
  <x:si>
    <x:t xml:space="preserve">https://www.accessdata.fda.gov/drugsatfda_docs/label/2024/020905s033lbl.pdf</x:t>
  </x:si>
  <x:si>
    <x:t xml:space="preserve">HF2: negligible systemic exposure to the docked parent compound; in vivo exposure occurs predominantly as the active metabolite teriflunomide.</x:t>
  </x:si>
  <x:si>
    <x:t xml:space="preserve">CHEMBL1079604</x:t>
  </x:si>
  <x:si>
    <x:t xml:space="preserve">METAXALONE</x:t>
  </x:si>
  <x:si>
    <x:t xml:space="preserve">https://dailymed.nlm.nih.gov/dailymed/drugInfo.cfm?setid=8294bb3c-c8eb-474c-b567-e53cf81249e9</x:t>
  </x:si>
  <x:si>
    <x:t xml:space="preserve">CNS depression and sedation are clinically relevant, with older patients particularly susceptible. These effects are poorly aligned with chronic use in a DLB population with cognitive and fall vulnerability.</x:t>
  </x:si>
  <x:si>
    <x:t xml:space="preserve">HF3: unfavorable chronic-use profile in DLB due to CNS depression and sedation, with increased concern in older patients.</x:t>
  </x:si>
  <x:si>
    <x:t xml:space="preserve">CHEMBL631</x:t>
  </x:si>
  <x:si>
    <x:t xml:space="preserve">PROPAFENONE</x:t>
  </x:si>
  <x:si>
    <x:t xml:space="preserve">https://dailymed.nlm.nih.gov/dailymed/drugInfo.cfm?setid=a96f9c6f-4c9c-4406-bca8-08bf9a4af1f4</x:t>
  </x:si>
  <x:si>
    <x:t xml:space="preserve">Clinically important proarrhythmic risk, including ventricular arrhythmias, torsade de pointes and sudden death, makes chronic repurposing unattractive.</x:t>
  </x:si>
  <x:si>
    <x:t xml:space="preserve">HF3: unfavorable chronic-use profile due to clinically important proarrhythmic risk.</x:t>
  </x:si>
  <x:si>
    <x:t xml:space="preserve">CHEMBL942</x:t>
  </x:si>
  <x:si>
    <x:t xml:space="preserve">BISACODYL</x:t>
  </x:si>
  <x:si>
    <x:t xml:space="preserve">oral; rectal</x:t>
  </x:si>
  <x:si>
    <x:t xml:space="preserve">https://www.medicines.org.uk/emc/product/13049</x:t>
  </x:si>
  <x:si>
    <x:t xml:space="preserve">HF2: negligible systemic exposure to the docked parent compound because of minimal absorption and predominantly local gastrointestinal action.</x:t>
  </x:si>
  <x:si>
    <x:t xml:space="preserve">CHEMBL141305</x:t>
  </x:si>
  <x:si>
    <x:t xml:space="preserve">CYCLOFENIL</x:t>
  </x:si>
  <x:si>
    <x:t xml:space="preserve">Reported as withdrawn because of a high risk of hepatotoxicity. Clinical reports describe acute hepatitis.</x:t>
  </x:si>
  <x:si>
    <x:t xml:space="preserve">https://drugs.ncats.io/drug/J468V64WZ1 ; https://pubmed.ncbi.nlm.nih.gov/3830805/</x:t>
  </x:si>
  <x:si>
    <x:t xml:space="preserve">HF1: safety-related market withdrawal due to hepatotoxicity.</x:t>
  </x:si>
  <x:si>
    <x:t xml:space="preserve">The safety-withdrawal attribution relies on NCATS Inxight together with published clinical hepatotoxicity reports. A primary regulatory withdrawal document was not identified in this audit.</x:t>
  </x:si>
  <x:si>
    <x:t xml:space="preserve">CHEMBL41</x:t>
  </x:si>
  <x:si>
    <x:t xml:space="preserve">FLUOXETINE</x:t>
  </x:si>
  <x:si>
    <x:t xml:space="preserve">https://dailymed.nlm.nih.gov/dailymed/drugInfo.cfm?setid=c88f33ed-6dfb-4c5e-bc01-d8e36dd97299</x:t>
  </x:si>
  <x:si>
    <x:t xml:space="preserve">Hyponatremia/SIADH, falls/unsteadiness and QT-related concerns are relevant in older adults, but the profile was not considered an automatic barrier to chronic repurposing.</x:t>
  </x:si>
  <x:si>
    <x:t xml:space="preserve">https://pubmed.ncbi.nlm.nih.gov/1415832/</x:t>
  </x:si>
  <x:si>
    <x:t xml:space="preserve">indirect</x:t>
  </x:si>
  <x:si>
    <x:t xml:space="preserve">https://pubmed.ncbi.nlm.nih.gov/30698051/</x:t>
  </x:si>
  <x:si>
    <x:t xml:space="preserve">mGluR5 evidence is indirect: the cited rat study reports altered hippocampal mGluR5 expression after perinatal fluoxetine exposure and does not demonstrate direct binding or functional modulation of mGluR5.</x:t>
  </x:si>
  <x:si>
    <x:t xml:space="preserve">CHEMBL936</x:t>
  </x:si>
  <x:si>
    <x:t xml:space="preserve">DIPHENIDOL</x:t>
  </x:si>
  <x:si>
    <x:t xml:space="preserve">https://www.nichiiko.co.jp/medicine/file/73960/attached_pdf/73960_attached.pdf</x:t>
  </x:si>
  <x:si>
    <x:t xml:space="preserve">The current product label documents anticholinergic actions that may worsen glaucoma and obstructive urinary/GI disease, together with hallucinations, confusion, somnolence, dry mouth and urinary difficulty. This profile is poorly aligned with chronic use in DLB.</x:t>
  </x:si>
  <x:si>
    <x:t xml:space="preserve">HF3: unfavorable chronic-use profile in DLB due to antimuscarinic/anticholinergic effects and associated CNS/cardiovascular toxicity.</x:t>
  </x:si>
  <x:si>
    <x:t xml:space="preserve">CHEMBL472</x:t>
  </x:si>
  <x:si>
    <x:t xml:space="preserve">GLYBURIDE</x:t>
  </x:si>
  <x:si>
    <x:t xml:space="preserve">https://dailymed.nlm.nih.gov/dailymed/drugInfo.cfm?setid=50d16f1d-c814-4411-8749-62561321ecce</x:t>
  </x:si>
  <x:si>
    <x:t xml:space="preserve">Severe and sometimes prolonged hypoglycemia is a major concern, particularly in older or frail adults. Beers Criteria recommend avoiding long-acting sulfonylureas such as glyburide in older adults.</x:t>
  </x:si>
  <x:si>
    <x:t xml:space="preserve">https://dailymed.nlm.nih.gov/dailymed/drugInfo.cfm?setid=50d16f1d-c814-4411-8749-62561321ecce ; https://pmc.ncbi.nlm.nih.gov/articles/PMC12478568/</x:t>
  </x:si>
  <x:si>
    <x:t xml:space="preserve">HF3: unfavorable chronic-use profile due to severe/prolonged hypoglycemia risk in older adults.</x:t>
  </x:si>
  <x:si>
    <x:t xml:space="preserve">CHEMBL1200370</x:t>
  </x:si>
  <x:si>
    <x:t xml:space="preserve">BENZOYL PEROXIDE</x:t>
  </x:si>
  <x:si>
    <x:t xml:space="preserve">topical</x:t>
  </x:si>
  <x:si>
    <x:t xml:space="preserve">https://www.ncbi.nlm.nih.gov/books/NBK537220/</x:t>
  </x:si>
  <x:si>
    <x:t xml:space="preserve">HF2: topical administration with minimal systemic exposure makes clinically relevant exposure of the docked compound to a CNS target implausible.</x:t>
  </x:si>
  <x:si>
    <x:t xml:space="preserve">CHEMBL1201168</x:t>
  </x:si>
  <x:si>
    <x:t xml:space="preserve">ISOCARBOXAZID</x:t>
  </x:si>
  <x:si>
    <x:t xml:space="preserve">currently_marketed</x:t>
  </x:si>
  <x:si>
    <x:t xml:space="preserve">ChEMBL carries a withdrawn flag, but current US labeling confirms that isocarboxazid (Marplan) remains marketed; it was therefore not treated as an HF1 safety withdrawal.</x:t>
  </x:si>
  <x:si>
    <x:t xml:space="preserve">https://dailymed.nlm.nih.gov/dailymed/lookup.cfm?setid=95fde749-44ad-4668-86c4-0ff17bca0074</x:t>
  </x:si>
  <x:si>
    <x:t xml:space="preserve">Risk of hypertensive crises, extensive food/drug interaction burden and orthostatic hypotension is poorly compatible with chronic repurposing in DLB.</x:t>
  </x:si>
  <x:si>
    <x:t xml:space="preserve">HF3: unfavorable chronic-use profile in DLB due to hypertensive-crisis risk, interaction burden and orthostatic hypotension.</x:t>
  </x:si>
  <x:si>
    <x:t xml:space="preserve">CHEMBL1239</x:t>
  </x:si>
  <x:si>
    <x:t xml:space="preserve">BENZYL BENZOATE</x:t>
  </x:si>
  <x:si>
    <x:t xml:space="preserve">unclear</x:t>
  </x:si>
  <x:si>
    <x:t xml:space="preserve">https://www.hpra.ie/find-a-medicine/for-human-use/withdrawn-medicines/details/15966</x:t>
  </x:si>
  <x:si>
    <x:t xml:space="preserve">HF2: approved medicinal use identified in the reviewed regulatory source is cutaneous; reliable human systemic PK of the exact docked parent at clinically relevant exposure could not be established.</x:t>
  </x:si>
  <x:si>
    <x:t xml:space="preserve">CHEMBL572</x:t>
  </x:si>
  <x:si>
    <x:t xml:space="preserve">NITROFURANTOIN</x:t>
  </x:si>
  <x:si>
    <x:t xml:space="preserve">https://dailymed.nlm.nih.gov/dailymed/drugInfo.cfm?setid=eeb12928-61ab-42a0-a1fa-2819b9ffa3cb</x:t>
  </x:si>
  <x:si>
    <x:t xml:space="preserve">Serious long-term toxicities include chronic pulmonary injury/fibrosis, hepatotoxicity and potentially irreversible peripheral neuropathy; these are poor features for chronic repurposing in older adults.</x:t>
  </x:si>
  <x:si>
    <x:t xml:space="preserve">https://dailymed.nlm.nih.gov/dailymed/drugInfo.cfm?setid=eeb12928-61ab-42a0-a1fa-2819b9ffa3cb ; https://pmc.ncbi.nlm.nih.gov/articles/PMC12478568/</x:t>
  </x:si>
  <x:si>
    <x:t xml:space="preserve">HF3: unfavorable chronic-use profile due to serious long-term pulmonary, hepatic and neurologic toxicities.</x:t>
  </x:si>
  <x:si>
    <x:t xml:space="preserve">CHEMBL170988</x:t>
  </x:si>
  <x:si>
    <x:t xml:space="preserve">PHENFORMIN</x:t>
  </x:si>
  <x:si>
    <x:t xml:space="preserve">Withdrawn because of the high risk of severe, potentially fatal lactic acidosis.</x:t>
  </x:si>
  <x:si>
    <x:t xml:space="preserve">https://www.ecfr.gov/current/title-21/chapter-I/subchapter-G/part-216/subpart-D/section-216.24 ; https://www.fda.gov/about-fda/fda-history-exhibits/drug-therapeutics-regulation-us</x:t>
  </x:si>
  <x:si>
    <x:t xml:space="preserve">HF1: safety-related market withdrawal due to severe, potentially fatal lactic acidosis.</x:t>
  </x:si>
  <x:si>
    <x:t xml:space="preserve">CHEMBL1201288</x:t>
  </x:si>
  <x:si>
    <x:t xml:space="preserve">DANTROLENE</x:t>
  </x:si>
  <x:si>
    <x:t xml:space="preserve">https://dailymed.nlm.nih.gov/dailymed/drugInfo.cfm?setid=c3c45b27-f786-456e-95d6-2e38ef36190a</x:t>
  </x:si>
  <x:si>
    <x:t xml:space="preserve">Boxed warning for symptomatic hepatitis including fatal cases, together with drowsiness, dizziness and muscle weakness; the combination is particularly unattractive in an older DLB population with motor and fall vulnerability.</x:t>
  </x:si>
  <x:si>
    <x:t xml:space="preserve">HF3: unfavorable chronic-use profile in DLB due to serious hepatotoxicity plus drowsiness/dizziness/muscle weakness.</x:t>
  </x:si>
  <x:si>
    <x:t xml:space="preserve">CHEMBL880</x:t>
  </x:si>
  <x:si>
    <x:t xml:space="preserve">FAMCICLOVIR</x:t>
  </x:si>
  <x:si>
    <x:t xml:space="preserve">https://www.accessdata.fda.gov/drugsatfda_docs/label/2011/020363s037lbl.pdf</x:t>
  </x:si>
  <x:si>
    <x:t xml:space="preserve">HF2: negligible systemic exposure to the docked parent compound because famciclovir is rapidly converted to penciclovir after oral administration.</x:t>
  </x:si>
  <x:si>
    <x:t xml:space="preserve">CHEMBL848</x:t>
  </x:si>
  <x:si>
    <x:t xml:space="preserve">LENALIDOMIDE</x:t>
  </x:si>
  <x:si>
    <x:t xml:space="preserve">https://pubmed.ncbi.nlm.nih.gov/22037879/</x:t>
  </x:si>
  <x:si>
    <x:t xml:space="preserve">Serious hematologic toxicity (including neutropenia/thrombocytopenia) and venous/arterial thromboembolic risk make chronic repurposing unattractive in an older neurodegenerative population.</x:t>
  </x:si>
  <x:si>
    <x:t xml:space="preserve">https://www.accessdata.fda.gov/drugsatfda_docs/label/2023/021880s067lbl.pdf</x:t>
  </x:si>
  <x:si>
    <x:t xml:space="preserve">HF3: unfavorable chronic-use profile due to serious hematologic toxicity and thromboembolic risk.</x:t>
  </x:si>
  <x:si>
    <x:t xml:space="preserve">CHEMBL27</x:t>
  </x:si>
  <x:si>
    <x:t xml:space="preserve">PROPRANOLOL</x:t>
  </x:si>
  <x:si>
    <x:t xml:space="preserve">https://dailymed.nlm.nih.gov/dailymed/drugInfo.cfm?setid=14d0c95d-418f-40a8-bad3-e20c82424960</x:t>
  </x:si>
  <x:si>
    <x:t xml:space="preserve">Bradycardia, hypotension/lightheadedness, fatigue and CNS adverse effects may aggravate autonomic and fall vulnerability in DLB, but propranolol is an established chronic medicine and these risks were treated as caution rather than an automatic exclusion.</x:t>
  </x:si>
  <x:si>
    <x:t xml:space="preserve">Current labeling explicitly states that propranolol crosses the blood-brain barrier. No direct mGluR5 binding/modulation evidence was identified in the targeted review.</x:t>
  </x:si>
  <x:si>
    <x:t xml:space="preserve">CHEMBL1086</x:t>
  </x:si>
  <x:si>
    <x:t xml:space="preserve">DIBUCAINE</x:t>
  </x:si>
  <x:si>
    <x:t xml:space="preserve">topical/external</x:t>
  </x:si>
  <x:si>
    <x:t xml:space="preserve">https://www.dailymed.nlm.nih.gov/dailymed/drugInfo.cfm?setid=9f3d4fdb-ad82-4ab8-8a9e-252d027068ab</x:t>
  </x:si>
  <x:si>
    <x:t xml:space="preserve">HF2: the reviewed approved product is for external topical use only and does not provide a plausible approved-route systemic exposure for a CNS target.</x:t>
  </x:si>
  <x:si>
    <x:t xml:space="preserve">CHEMBL24072</x:t>
  </x:si>
  <x:si>
    <x:t xml:space="preserve">PRENYLAMINE</x:t>
  </x:si>
  <x:si>
    <x:t xml:space="preserve">Prenylamine was withdrawn after serious QT-prolongation–related proarrhythmia, including torsade de pointes.</x:t>
  </x:si>
  <x:si>
    <x:t xml:space="preserve">https://pmc.ncbi.nlm.nih.gov/articles/PMC6199680/ ; https://pubmed.ncbi.nlm.nih.gov/7267475/</x:t>
  </x:si>
  <x:si>
    <x:t xml:space="preserve">HF1: safety-related market withdrawal due to serious QT-prolongation/proarrhythmic risk.</x:t>
  </x:si>
  <x:si>
    <x:t xml:space="preserve">CHEMBL1401</x:t>
  </x:si>
  <x:si>
    <x:t xml:space="preserve">NITAZOXANIDE</x:t>
  </x:si>
  <x:si>
    <x:t xml:space="preserve">https://www.accessdata.fda.gov/drugsatfda_docs/label/2021/021497s017lbl.pdf ; https://www.accessdata.fda.gov/drugsatfda_docs/nda/2005/021818s000_ClinPharmR.pdf</x:t>
  </x:si>
  <x:si>
    <x:t xml:space="preserve">HF2: the docked parent nitazoxanide is rapidly hydrolyzed to tizoxanide; human pharmacokinetic evaluation did not detect parent nitazoxanide as the relevant circulating species.</x:t>
  </x:si>
  <x:si>
    <x:t xml:space="preserve">CHEMBL855</x:t>
  </x:si>
  <x:si>
    <x:t xml:space="preserve">TRIPROLIDINE</x:t>
  </x:si>
  <x:si>
    <x:t xml:space="preserve">https://pubmed.ncbi.nlm.nih.gov/2355108/</x:t>
  </x:si>
  <x:si>
    <x:t xml:space="preserve">Triprolidine is a first-generation antihistamine with strong anticholinergic effects; Beers Criteria recommend avoiding such agents in older adults because of confusion, constipation, falls and delirium/dementia risk.</x:t>
  </x:si>
  <x:si>
    <x:t xml:space="preserve">https://pmc.ncbi.nlm.nih.gov/articles/PMC12478568/</x:t>
  </x:si>
  <x:si>
    <x:t xml:space="preserve">HF3: unfavorable chronic-use profile in DLB due to strong anticholinergic burden in older adults.</x:t>
  </x:si>
  <x:si>
    <x:t xml:space="preserve">CHEMBL1201198</x:t>
  </x:si>
  <x:si>
    <x:t xml:space="preserve">PEMIROLAST</x:t>
  </x:si>
  <x:si>
    <x:t xml:space="preserve">https://pins.japic.or.jp/pdf/newPINS/00070904.pdf</x:t>
  </x:si>
  <x:si>
    <x:t xml:space="preserve">Current oral product information includes sleepiness and gastrointestinal/other adverse effects. Sleepiness is relevant to fall/cognitive vulnerability in DLB but was not considered an automatic barrier.</x:t>
  </x:si>
  <x:si>
    <x:t xml:space="preserve">https://drugs.ncats.io/drug/2C09NV773M</x:t>
  </x:si>
  <x:si>
    <x:t xml:space="preserve">Current Japanese oral product information documents measurable unchanged pemirolast in plasma after oral dosing. NCATS Inxight classifies pemirolast as CNS non-penetrant, but no direct in vivo human brain-exposure study demonstrating negligible penetration was identified. This was therefore retained as an HF4 caveat rather than a hard exclusion.</x:t>
  </x:si>
  <x:si>
    <x:t xml:space="preserve">CHEMBL806</x:t>
  </x:si>
  <x:si>
    <x:t xml:space="preserve">FLUTAMIDE</x:t>
  </x:si>
  <x:si>
    <x:t xml:space="preserve">https://dailymed.nlm.nih.gov/dailymed/downloadpdffile.cfm?setId=8b5974d2-0f00-4201-a810-01320ac0cf13</x:t>
  </x:si>
  <x:si>
    <x:t xml:space="preserve">Boxed warning for severe hepatic injury, including hospitalization and rare deaths from liver failure, with intensive liver-function monitoring requirements.</x:t>
  </x:si>
  <x:si>
    <x:t xml:space="preserve">HF3: unfavorable chronic-use profile due to severe hepatotoxicity.</x:t>
  </x:si>
  <x:si>
    <x:t xml:space="preserve">CHEMBL457</x:t>
  </x:si>
  <x:si>
    <x:t xml:space="preserve">GEMFIBROZIL</x:t>
  </x:si>
  <x:si>
    <x:t xml:space="preserve">https://dailymed.nlm.nih.gov/dailymed/drugInfo.cfm?setid=c48855b7-215e-453b-b3b1-a0f9dee7221f</x:t>
  </x:si>
  <x:si>
    <x:t xml:space="preserve">Chronic use is established, but clinically relevant risks include cholelithiasis and myopathy/rhabdomyolysis (especially with interacting drugs), with dizziness/somnolence also reported.</x:t>
  </x:si>
  <x:si>
    <x:t xml:space="preserve">https://pubmed.ncbi.nlm.nih.gov/17625103/ ; https://pmc.ncbi.nlm.nih.gov/articles/PMC3523125/</x:t>
  </x:si>
  <x:si>
    <x:t xml:space="preserve">Mouse brain exposure was measured directly in the primary EAE study (PMID 17625103). A later paper reiterates the mouse brain measurement and explicitly notes that human brain-bioavailability data were unavailable. No direct human CNS exposure evidence was identified in this review.</x:t>
  </x:si>
  <x:si>
    <x:t xml:space="preserve">CHEMBL46917</x:t>
  </x:si>
  <x:si>
    <x:t xml:space="preserve">CARBARIL</x:t>
  </x:si>
  <x:si>
    <x:t xml:space="preserve">A ChEMBL withdrawn flag is present, and medicinal carbaryl use has been restricted in some settings, but a definitive primary regulatory document establishing a safety-related medicinal market withdrawal was not identified.</x:t>
  </x:si>
  <x:si>
    <x:t xml:space="preserve">https://pubmed.ncbi.nlm.nih.gov/8680239/ ; https://pubmed.ncbi.nlm.nih.gov/11841371/</x:t>
  </x:si>
  <x:si>
    <x:t xml:space="preserve">HF2: adequate systemic exposure of the docked carbaryl molecule through an approved medicinal route could not be established from the reviewed evidence.</x:t>
  </x:si>
  <x:si>
    <x:t xml:space="preserve">The ChEMBL withdrawn flag could not be matched to a definitive primary regulatory safety-withdrawal document; HF2 therefore provided the first decisive exclusion.</x:t>
  </x:si>
  <x:si>
    <x:t xml:space="preserve">CHEMBL4279047</x:t>
  </x:si>
  <x:si>
    <x:t xml:space="preserve">VORASIDENIB</x:t>
  </x:si>
  <x:si>
    <x:t xml:space="preserve">https://www.accessdata.fda.gov/drugsatfda_docs/label/2026/218784s004lbl.pdf</x:t>
  </x:si>
  <x:si>
    <x:t xml:space="preserve">Clinically important hepatotoxicity requires intensive liver-function monitoring; however, vorasidenib is approved for ongoing oral treatment, so this was treated as caution rather than an automatic exclusion.</x:t>
  </x:si>
  <x:si>
    <x:t xml:space="preserve">https://pubmed.ncbi.nlm.nih.gov/36823302/</x:t>
  </x:si>
  <x:si>
    <x:t xml:space="preserve">CHEMBL76370</x:t>
  </x:si>
  <x:si>
    <x:t xml:space="preserve">TEGASEROD</x:t>
  </x:si>
  <x:si>
    <x:t xml:space="preserve">historical_safety_withdrawal_reintroduced</x:t>
  </x:si>
  <x:si>
    <x:t xml:space="preserve">Tegaserod was withdrawn/suspended after an ischemic cardiovascular safety signal and was later reintroduced in the US under a restricted indication/population.</x:t>
  </x:si>
  <x:si>
    <x:t xml:space="preserve">https://www.fda.gov/media/119019/download ; https://www.accessdata.fda.gov/drugsatfda_docs/label/2019/021200Orig1s015lbl.pdf</x:t>
  </x:si>
  <x:si>
    <x:t xml:space="preserve">The current restricted indication and cardiovascular risk exclusions reflect a safety profile poorly aligned with broad chronic repurposing in an older DLB population.</x:t>
  </x:si>
  <x:si>
    <x:t xml:space="preserve">HF3: unfavorable chronic-use profile for DLB in view of the prior ischemic cardiovascular safety signal and restricted current use.</x:t>
  </x:si>
  <x:si>
    <x:t xml:space="preserve">CHEMBL1200868</x:t>
  </x:si>
  <x:si>
    <x:t xml:space="preserve">PHENYL AMINOSALICYLATE</x:t>
  </x:si>
  <x:si>
    <x:t xml:space="preserve">oral (database annotation)</x:t>
  </x:si>
  <x:si>
    <x:t xml:space="preserve">https://pubchem.ncbi.nlm.nih.gov/compound/8609 ; https://precision.fda.gov/ginas/app/ui/substances/b007bc28-64c7-4061-a592-97f22dd9d3b3</x:t>
  </x:si>
  <x:si>
    <x:t xml:space="preserve">HF2: direct human systemic pharmacokinetic evidence for the exact docked parent compound was not identified; oral-route annotation alone was not considered sufficient.</x:t>
  </x:si>
  <x:si>
    <x:t xml:space="preserve">The oral route is reported in aggregated drug databases, but direct human systemic PK for the docked parent was not identified.</x:t>
  </x:si>
  <x:si>
    <x:t xml:space="preserve">CHEMBL162036</x:t>
  </x:si>
  <x:si>
    <x:t xml:space="preserve">BENORILATE</x:t>
  </x:si>
  <x:si>
    <x:t xml:space="preserve">https://pubmed.ncbi.nlm.nih.gov/241174/ ; https://pubmed.ncbi.nlm.nih.gov/7900541/</x:t>
  </x:si>
  <x:si>
    <x:t xml:space="preserve">HF2: benorilate is hydrolyzed after absorption to salicylate/acetylsalicylic-acid- and paracetamol-derived species; relevant systemic exposure of the exact docked parent was not established.</x:t>
  </x:si>
  <x:si>
    <x:t xml:space="preserve">CHEMBL10878</x:t>
  </x:si>
  <x:si>
    <x:t xml:space="preserve">AGOMELATINE</x:t>
  </x:si>
  <x:si>
    <x:t xml:space="preserve">https://www.ema.europa.eu/en/documents/product-information/valdoxan-epar-product-information_en.pdf</x:t>
  </x:si>
  <x:si>
    <x:t xml:space="preserve">Regular liver-function monitoring is required, and EMA product information includes important age-related limitations/cautions in older patients. This is a major translational caveat for DLB but was not treated as an automatic exclusion.</x:t>
  </x:si>
  <x:si>
    <x:t xml:space="preserve">https://pmc.ncbi.nlm.nih.gov/articles/PMC5484509/</x:t>
  </x:si>
  <x:si>
    <x:t xml:space="preserve">https://pubmed.ncbi.nlm.nih.gov/41349876/</x:t>
  </x:si>
  <x:si>
    <x:t xml:space="preserve">CHEMBL19299</x:t>
  </x:si>
  <x:si>
    <x:t xml:space="preserve">LOXOPROFEN</x:t>
  </x:si>
  <x:si>
    <x:t xml:space="preserve">https://pubmed.ncbi.nlm.nih.gov/11948535/</x:t>
  </x:si>
  <x:si>
    <x:t xml:space="preserve">For chronic use in older adults, non-selective NSAID risks include gastrointestinal bleeding/ulceration and kidney injury; loxoprofen-specific regulatory safety communications also describe serious gastrointestinal and renal adverse reactions.</x:t>
  </x:si>
  <x:si>
    <x:t xml:space="preserve">https://www.pmda.go.jp/files/000219738.pdf ; https://www.pmda.go.jp/safety/info-services/drugs/calling-attention/revision-of-precautions/0062.html ; https://pmc.ncbi.nlm.nih.gov/articles/PMC12478568/</x:t>
  </x:si>
  <x:si>
    <x:t xml:space="preserve">HF3: unfavorable chronic-use profile in an older DLB population due to serious gastrointestinal/renal toxicity risks associated with chronic NSAID use.</x:t>
  </x:si>
  <x:si>
    <x:t xml:space="preserve">CHEMBL1623992</x:t>
  </x:si>
  <x:si>
    <x:t xml:space="preserve">PIPERIDOLATE</x:t>
  </x:si>
  <x:si>
    <x:t xml:space="preserve">https://www.rad-ar.or.jp/siori/english/search/result?n=2189 ; https://www.pmda.go.jp/files/000153455.pdf</x:t>
  </x:si>
  <x:si>
    <x:t xml:space="preserve">HF2: an approved oral piperidolate hydrochloride tablet is documented, but reliable human systemic pharmacokinetic evidence for the exact docked entity was not identified.</x:t>
  </x:si>
  <x:si>
    <x:t xml:space="preserve">The approved oral route is documented; route alone was not used to infer adequate systemic exposure, so HF2 remains unclear.</x:t>
  </x:si>
  <x:si>
    <x:t xml:space="preserve">Metric</x:t>
  </x:si>
  <x:si>
    <x:t xml:space="preserve">Value</x:t>
  </x:si>
  <x:si>
    <x:t xml:space="preserve">Stage</x:t>
  </x:si>
  <x:si>
    <x:t xml:space="preserve">Compounds remaining</x:t>
  </x:si>
  <x:si>
    <x:t xml:space="preserve">Interpretation</x:t>
  </x:si>
  <x:si>
    <x:t xml:space="preserve">Full screened library</x:t>
  </x:si>
  <x:si>
    <x:t xml:space="preserve">Structural shortlist</x:t>
  </x:si>
  <x:si>
    <x:t xml:space="preserve">Vina ≤ −8.5 kcal/mol</x:t>
  </x:si>
  <x:si>
    <x:t xml:space="preserve">Vina cutoff (kcal/mol)</x:t>
  </x:si>
  <x:si>
    <x:t xml:space="preserve">After HF1</x:t>
  </x:si>
  <x:si>
    <x:t xml:space="preserve">5 safety-related withdrawal exclusions</x:t>
  </x:si>
  <x:si>
    <x:t xml:space="preserve">High-scoring hits</x:t>
  </x:si>
  <x:si>
    <x:t xml:space="preserve">After HF2</x:t>
  </x:si>
  <x:si>
    <x:t xml:space="preserve">11 additional systemic-exposure exclusions</x:t>
  </x:si>
  <x:si>
    <x:t xml:space="preserve">High-scoring hits (% library)</x:t>
  </x:si>
  <x:si>
    <x:t xml:space="preserve">After HF3</x:t>
  </x:si>
  <x:si>
    <x:t xml:space="preserve">13 additional chronic-use/DLB exclusions</x:t>
  </x:si>
  <x:si>
    <x:t xml:space="preserve">HF1 exclusions</x:t>
  </x:si>
  <x:si>
    <x:t xml:space="preserve">After HF4</x:t>
  </x:si>
  <x:si>
    <x:t xml:space="preserve">No HF4 hard exclusion among evaluated hits</x:t>
  </x:si>
  <x:si>
    <x:t xml:space="preserve">HF2 exclusions</x:t>
  </x:si>
  <x:si>
    <x:t xml:space="preserve">After pose review</x:t>
  </x:si>
  <x:si>
    <x:t xml:space="preserve">All eligible hits recorded as coherent</x:t>
  </x:si>
  <x:si>
    <x:t xml:space="preserve">HF3 exclusions</x:t>
  </x:si>
  <x:si>
    <x:t xml:space="preserve">HF4 exclusions</x:t>
  </x:si>
  <x:si>
    <x:t xml:space="preserve">Eligible after HF1–HF4</x:t>
  </x:si>
  <x:si>
    <x:t xml:space="preserve">Coherent poses</x:t>
  </x:si>
  <x:si>
    <x:t xml:space="preserve">Step</x:t>
  </x:si>
  <x:si>
    <x:t xml:space="preserve">Pass / retain when…</x:t>
  </x:si>
  <x:si>
    <x:t xml:space="preserve">Exclude when…</x:t>
  </x:si>
  <x:si>
    <x:t xml:space="preserve">Remaining</x:t>
  </x:si>
  <x:si>
    <x:t xml:space="preserve">Vina score ≤ −8.5 kcal/mol.</x:t>
  </x:si>
  <x:si>
    <x:t xml:space="preserve">Score &gt; −8.5 kcal/mol: not taken forward to the detailed pharmacological review.</x:t>
  </x:si>
  <x:si>
    <x:t xml:space="preserve">HF1 – Regulatory withdrawal</x:t>
  </x:si>
  <x:si>
    <x:t xml:space="preserve">No documented safety-related market withdrawal. A ChEMBL withdrawn flag alone is not sufficient. Currently marketed or formally reintroduced drugs can pass.</x:t>
  </x:si>
  <x:si>
    <x:t xml:space="preserve">Reliable evidence supports withdrawal/removal from the market for safety reasons.</x:t>
  </x:si>
  <x:si>
    <x:t xml:space="preserve">HF2 – Systemic exposure</x:t>
  </x:si>
  <x:si>
    <x:t xml:space="preserve">Documented systemic exposure of the exact docked chemical entity through an approved medicinal route.</x:t>
  </x:si>
  <x:si>
    <x:t xml:space="preserve">No or unclear systemic exposure of the docked parent; topical/local use without meaningful systemic exposure; or systemic exposure applies mainly to a metabolite rather than the docked parent.</x:t>
  </x:si>
  <x:si>
    <x:t xml:space="preserve">HF3 – Chronic-use suitability in DLB</x:t>
  </x:si>
  <x:si>
    <x:t xml:space="preserve">favorable or caution: risks are absent, limited or potentially manageable and are not considered prohibitive for chronic repurposing in an older DLB population.</x:t>
  </x:si>
  <x:si>
    <x:t xml:space="preserve">unfavorable: serious chronic toxicity or effects particularly problematic in DLB (e.g., strong anticholinergic burden, cognitive effects, orthostatic hypotension, sedation/falls, relevant motor/autonomic effects).</x:t>
  </x:si>
  <x:si>
    <x:t xml:space="preserve">HF4 – Brain penetration</x:t>
  </x:si>
  <x:si>
    <x:t xml:space="preserve">pass: no reviewed evidence meets the hard-exclusion criterion. caveat: concerning animal/in-vitro/database evidence of poor penetration, but insufficient for hard exclusion; compound is retained.</x:t>
  </x:si>
  <x:si>
    <x:t xml:space="preserve">fail: direct in-vivo human evidence supports negligible or clinically insufficient CNS/brain penetration at clinically relevant exposure.</x:t>
  </x:si>
  <x:si>
    <x:t xml:space="preserve">Pose review</x:t>
  </x:si>
  <x:si>
    <x:t xml:space="preserve">coherent: pose occupies the NAM pocket without grossly implausible geometry or obvious severe clashes.</x:t>
  </x:si>
  <x:si>
    <x:t xml:space="preserve">questionable/unfavorable: pose is structurally implausible or does not support credible NAM-pocket occupancy; candidate should be deprioritized/excluded from the final structural shortlist.</x:t>
  </x:si>
  <x:si>
    <x:t xml:space="preserve">Note</x:t>
  </x:si>
  <x:si>
    <x:t xml:space="preserve">not_evaluated = the hit had already failed an earlier hard filter, so downstream fields were intentionally not reviewed.</x:t>
  </x:si>
  <x:si>
    <x:t xml:space="preserve">CNS evidence (human / animal / predicted_only / none_identified / unclear) records evidence level; HF4 pass/caveat/fail records the decision derived from that evidence.</x:t>
  </x:si>
</x:sst>
</file>

<file path=xl/styles.xml><?xml version="1.0" encoding="utf-8"?>
<x:styleSheet xmlns:x="http://schemas.openxmlformats.org/spreadsheetml/2006/main">
  <x:numFmts count="3">
    <x:numFmt numFmtId="164" formatCode="0.000"/>
    <x:numFmt numFmtId="165" formatCode="0.0%"/>
    <x:numFmt numFmtId="200" formatCode="0.00"/>
  </x:numFmts>
  <x:fonts count="16">
    <x:font>
      <x:sz val="11"/>
      <x:name val="Carlito"/>
    </x:font>
    <x:font>
      <x:b/>
      <x:sz val="10"/>
      <x:color rgb="FFFFFFFF"/>
      <x:name val="Calibri"/>
    </x:font>
    <x:font>
      <x:sz val="10"/>
      <x:color rgb="FF1F1F1F"/>
      <x:name val="Calibri"/>
    </x:font>
    <x:font>
      <x:b/>
      <x:sz val="10"/>
      <x:color rgb="FF1F1F1F"/>
      <x:name val="Calibri"/>
    </x:font>
    <x:font>
      <x:sz val="9"/>
      <x:color rgb="FF44546A"/>
      <x:name val="Calibri"/>
    </x:font>
    <x:font>
      <x:i/>
      <x:sz val="9"/>
      <x:color rgb="FF404040"/>
      <x:name val="Calibri"/>
    </x:font>
    <x:font>
      <x:b/>
      <x:sz val="11"/>
      <x:color rgb="FFFFFFFF"/>
      <x:name val="Carlito"/>
    </x:font>
    <x:font>
      <x:b/>
      <x:sz val="11"/>
      <x:color rgb="FF1F1F1F"/>
      <x:name val="Carlito"/>
    </x:font>
    <x:font>
      <x:sz val="11"/>
      <x:color rgb="FF006100"/>
      <x:name val="Carlito"/>
    </x:font>
    <x:font>
      <x:sz val="11"/>
      <x:color rgb="FF9C0006"/>
      <x:name val="Carlito"/>
    </x:font>
    <x:font>
      <x:sz val="11"/>
      <x:color rgb="FF7F6000"/>
      <x:name val="Carlito"/>
    </x:font>
    <x:font>
      <x:b/>
      <x:sz val="11"/>
      <x:name val="Carlito"/>
    </x:font>
    <x:font>
      <x:b/>
      <x:sz val="11"/>
      <x:color rgb="FF006100"/>
      <x:name val="Carlito"/>
    </x:font>
    <x:font>
      <x:b/>
      <x:sz val="11"/>
      <x:color rgb="FF7F6000"/>
      <x:name val="Carlito"/>
    </x:font>
    <x:font>
      <x:b/>
      <x:sz val="11"/>
      <x:color rgb="FF9C0006"/>
      <x:name val="Carlito"/>
    </x:font>
    <x:font>
      <x:i/>
      <x:sz val="11"/>
      <x:color rgb="FF595959"/>
      <x:name val="Carlito"/>
    </x:font>
  </x:fonts>
  <x:fills count="38">
    <x:fill>
      <x:patternFill patternType="none"/>
    </x:fill>
    <x:fill>
      <x:patternFill patternType="gray125"/>
    </x:fill>
    <x:fill>
      <x:patternFill patternType="solid">
        <x:fgColor rgb="FF5B9BD5"/>
      </x:patternFill>
    </x:fill>
    <x:fill>
      <x:patternFill patternType="solid">
        <x:fgColor rgb="FFC55A11"/>
      </x:patternFill>
    </x:fill>
    <x:fill>
      <x:patternFill patternType="solid">
        <x:fgColor rgb="FFBF9000"/>
      </x:patternFill>
    </x:fill>
    <x:fill>
      <x:patternFill patternType="solid">
        <x:fgColor rgb="FF70AD47"/>
      </x:patternFill>
    </x:fill>
    <x:fill>
      <x:patternFill patternType="solid">
        <x:fgColor rgb="FF8064A2"/>
      </x:patternFill>
    </x:fill>
    <x:fill>
      <x:patternFill patternType="solid">
        <x:fgColor rgb="FF7F7F7F"/>
      </x:patternFill>
    </x:fill>
    <x:fill>
      <x:patternFill patternType="solid">
        <x:fgColor rgb="FF2F75B5"/>
      </x:patternFill>
    </x:fill>
    <x:fill>
      <x:patternFill patternType="solid">
        <x:fgColor rgb="FFA5A5A5"/>
      </x:patternFill>
    </x:fill>
    <x:fill>
      <x:patternFill patternType="solid">
        <x:fgColor rgb="FFD9EAF7"/>
      </x:patternFill>
    </x:fill>
    <x:fill>
      <x:patternFill patternType="solid">
        <x:fgColor rgb="FFFCE4D6"/>
      </x:patternFill>
    </x:fill>
    <x:fill>
      <x:patternFill patternType="solid">
        <x:fgColor rgb="FFFFF2CC"/>
      </x:patternFill>
    </x:fill>
    <x:fill>
      <x:patternFill patternType="solid">
        <x:fgColor rgb="FFE2F0D9"/>
      </x:patternFill>
    </x:fill>
    <x:fill>
      <x:patternFill patternType="solid">
        <x:fgColor rgb="FFE4DFEC"/>
      </x:patternFill>
    </x:fill>
    <x:fill>
      <x:patternFill patternType="solid">
        <x:fgColor rgb="FFE7E6E6"/>
      </x:patternFill>
    </x:fill>
    <x:fill>
      <x:patternFill patternType="solid">
        <x:fgColor rgb="FFDDEBF7"/>
      </x:patternFill>
    </x:fill>
    <x:fill>
      <x:patternFill patternType="solid">
        <x:fgColor rgb="FFF2F2F2"/>
      </x:patternFill>
    </x:fill>
    <x:fill>
      <x:patternFill patternType="solid">
        <x:fgColor rgb="FF355C7D"/>
      </x:patternFill>
    </x:fill>
    <x:fill>
      <x:patternFill patternType="solid">
        <x:fgColor rgb="FFA5A5A5"/>
      </x:patternFill>
    </x:fill>
    <x:fill>
      <x:patternFill patternType="solid">
        <x:fgColor rgb="FFF2F2F2"/>
      </x:patternFill>
    </x:fill>
    <x:fill>
      <x:patternFill patternType="solid">
        <x:fgColor rgb="FF355C7D"/>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F2F2F2"/>
      </x:patternFill>
    </x:fill>
    <x:fill>
      <x:patternFill patternType="solid">
        <x:fgColor rgb="FF355C7D"/>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A5A5A5"/>
      </x:patternFill>
    </x:fill>
    <x:fill>
      <x:patternFill patternType="solid">
        <x:fgColor rgb="FFF2F2F2"/>
      </x:patternFill>
    </x:fill>
    <x:fill>
      <x:patternFill patternType="solid">
        <x:fgColor rgb="FFE2F0D9"/>
      </x:patternFill>
    </x:fill>
    <x:fill>
      <x:patternFill patternType="solid">
        <x:fgColor rgb="FFFCE4D6"/>
      </x:patternFill>
    </x:fill>
    <x:fill>
      <x:patternFill patternType="solid">
        <x:fgColor rgb="FFFFF2CC"/>
      </x:patternFill>
    </x:fill>
  </x:fills>
  <x:borders count="2">
    <x:border/>
    <x:border/>
  </x:borders>
  <x:cellStyleXfs count="1">
    <x:xf numFmtId="0" fontId="0" fillId="0" borderId="0"/>
  </x:cellStyleXfs>
  <x:cellXfs count="333">
    <x:xf numFmtId="0" fontId="0" fillId="0" borderId="0" xfId="0"/>
    <x:xf numFmtId="0" fontId="1" fillId="2" borderId="0" xfId="0" applyFont="1" applyFill="1" applyAlignment="1">
      <x:alignment horizontal="center" vertical="center" wrapText="1"/>
    </x:xf>
    <x:xf numFmtId="0" fontId="3" fillId="10" borderId="0" xfId="0" applyFont="1" applyFill="1" applyAlignment="1">
      <x:alignment horizontal="center" vertical="center" wrapText="1"/>
    </x:xf>
    <x:xf numFmtId="0" fontId="3" fillId="11" borderId="0" xfId="0" applyFont="1" applyFill="1" applyAlignment="1">
      <x:alignment horizontal="center" vertical="center" wrapText="1"/>
    </x:xf>
    <x:xf numFmtId="0" fontId="3" fillId="12" borderId="0" xfId="0" applyFont="1" applyFill="1" applyAlignment="1">
      <x:alignment horizontal="center" vertical="center" wrapText="1"/>
    </x:xf>
    <x:xf numFmtId="0" fontId="3" fillId="13" borderId="0" xfId="0" applyFont="1" applyFill="1" applyAlignment="1">
      <x:alignment horizontal="center" vertical="center" wrapText="1"/>
    </x:xf>
    <x:xf numFmtId="0" fontId="3" fillId="14" borderId="0" xfId="0" applyFont="1" applyFill="1" applyAlignment="1">
      <x:alignment horizontal="center" vertical="center" wrapText="1"/>
    </x:xf>
    <x:xf numFmtId="0" fontId="3" fillId="15" borderId="0" xfId="0" applyFont="1" applyFill="1" applyAlignment="1">
      <x:alignment horizontal="center" vertical="center" wrapText="1"/>
    </x:xf>
    <x:xf numFmtId="0" fontId="3" fillId="16" borderId="0" xfId="0" applyFont="1" applyFill="1" applyAlignment="1">
      <x:alignment horizontal="center" vertical="center" wrapText="1"/>
    </x:xf>
    <x:xf numFmtId="0" fontId="3" fillId="17" borderId="0" xfId="0" applyFont="1" applyFill="1" applyAlignment="1">
      <x:alignment horizontal="center" vertical="center" wrapText="1"/>
    </x:xf>
    <x:xf numFmtId="0" fontId="2" fillId="0" borderId="0" xfId="0" applyFont="1" applyAlignment="1">
      <x:alignment vertical="top" wrapText="1"/>
    </x:xf>
    <x:xf numFmtId="0" fontId="2" fillId="0" borderId="0" xfId="0" applyFont="1" applyAlignment="1">
      <x:alignment horizontal="center" vertical="top" wrapText="1"/>
    </x:xf>
    <x:xf numFmtId="0" fontId="4" fillId="0" borderId="0" xfId="0" applyFont="1" applyAlignment="1">
      <x:alignment vertical="top" wrapText="1"/>
    </x:xf>
    <x:xf numFmtId="164" fontId="2" fillId="0" borderId="0" xfId="0" applyNumberFormat="1" applyFont="1" applyAlignment="1">
      <x:alignment horizontal="center" vertical="top"/>
    </x:xf>
    <x:xf numFmtId="2" fontId="2" fillId="0" borderId="0" xfId="0" applyNumberFormat="1" applyFont="1" applyAlignment="1">
      <x:alignment horizontal="center" vertical="top"/>
    </x:xf>
    <x:xf numFmtId="1" fontId="2" fillId="0" borderId="0" xfId="0" applyNumberFormat="1" applyFont="1" applyAlignment="1">
      <x:alignment horizontal="center" vertical="top"/>
    </x:xf>
    <x:xf numFmtId="165" fontId="2" fillId="0" borderId="0" xfId="0" applyNumberFormat="1" applyFont="1" applyAlignment="1">
      <x:alignment vertical="top" wrapText="1"/>
    </x:xf>
    <x:xf numFmtId="0" fontId="5" fillId="17" borderId="0" xfId="0" applyFont="1" applyFill="1" applyAlignment="1">
      <x:alignment vertical="top" wrapText="1"/>
    </x:xf>
    <x:xf numFmtId="0" fontId="1" fillId="18" borderId="0" xfId="0" applyFont="1" applyFill="1" applyAlignment="1">
      <x:alignment horizontal="center" vertical="center" wrapText="1"/>
    </x:xf>
    <x:xf numFmtId="164" fontId="2" fillId="0" borderId="0" xfId="0" applyNumberFormat="1" applyFont="1" applyAlignment="1">
      <x:alignment horizontal="center" vertical="top" wrapText="1"/>
    </x:xf>
    <x:xf numFmtId="2" fontId="2" fillId="0" borderId="0" xfId="0" applyNumberFormat="1" applyFont="1" applyAlignment="1">
      <x:alignment horizontal="center" vertical="top" wrapText="1"/>
    </x:xf>
    <x:xf numFmtId="0" fontId="1" fillId="0" borderId="0" xfId="0" applyFont="1" applyAlignment="1">
      <x:alignment horizontal="center" vertical="center" wrapText="1"/>
    </x:xf>
    <x:xf numFmtId="0" fontId="5" fillId="0" borderId="0" xfId="0" applyFont="1" applyAlignment="1">
      <x:alignment vertical="top" wrapText="1"/>
    </x:xf>
    <x:xf numFmtId="0" fontId="1" fillId="7" borderId="0" xfId="0" applyFont="1" applyFill="1" applyAlignment="1">
      <x:alignment horizontal="center" vertical="center" wrapText="1"/>
    </x:xf>
    <x:xf numFmtId="0" fontId="1" fillId="8" borderId="0" xfId="0" applyFont="1" applyFill="1" applyAlignment="1">
      <x:alignment horizontal="center" vertical="center" wrapText="1"/>
    </x:xf>
    <x:xf numFmtId="0" fontId="1" fillId="9" borderId="0" xfId="0" applyFont="1" applyFill="1" applyAlignment="1">
      <x:alignment horizontal="center" vertical="center" wrapText="1"/>
    </x:xf>
    <x:xf numFmtId="0" fontId="1" fillId="2" borderId="0" xfId="0" applyFont="1" applyFill="1" applyAlignment="1">
      <x:alignment horizontal="center" vertical="center" wrapText="1"/>
    </x:xf>
    <x:xf numFmtId="0" fontId="1" fillId="3" borderId="0" xfId="0" applyFont="1" applyFill="1" applyAlignment="1">
      <x:alignment horizontal="center" vertical="center" wrapText="1"/>
    </x:xf>
    <x:xf numFmtId="0" fontId="1" fillId="4" borderId="0" xfId="0" applyFont="1" applyFill="1" applyAlignment="1">
      <x:alignment horizontal="center" vertical="center" wrapText="1"/>
    </x:xf>
    <x:xf numFmtId="0" fontId="1" fillId="5" borderId="0" xfId="0" applyFont="1" applyFill="1" applyAlignment="1">
      <x:alignment horizontal="center" vertical="center" wrapText="1"/>
    </x:xf>
    <x:xf numFmtId="0" fontId="1" fillId="6" borderId="0" xfId="0" applyFont="1" applyFill="1" applyAlignment="1">
      <x:alignment horizontal="center" vertical="center" wrapText="1"/>
    </x:xf>
    <x:xf numFmtId="0" fontId="0" fillId="0" borderId="1" xfId="0" applyNumberFormat="1" applyFont="1" applyFill="1" applyBorder="1"/>
    <x:xf numFmtId="0" fontId="1" fillId="2" borderId="1" xfId="0" applyNumberFormat="1" applyFont="1" applyFill="1" applyBorder="1" applyAlignment="1">
      <x:alignment horizontal="center" vertical="center" wrapText="1"/>
    </x:xf>
    <x:xf numFmtId="0" fontId="3" fillId="10" borderId="1" xfId="0" applyNumberFormat="1" applyFont="1" applyFill="1" applyBorder="1" applyAlignment="1">
      <x:alignment horizontal="center" vertical="center" wrapText="1"/>
    </x:xf>
    <x:xf numFmtId="0" fontId="3" fillId="11" borderId="1" xfId="0" applyNumberFormat="1" applyFont="1" applyFill="1" applyBorder="1" applyAlignment="1">
      <x:alignment horizontal="center" vertical="center" wrapText="1"/>
    </x:xf>
    <x:xf numFmtId="0" fontId="3" fillId="12" borderId="1" xfId="0" applyNumberFormat="1" applyFont="1" applyFill="1" applyBorder="1" applyAlignment="1">
      <x:alignment horizontal="center" vertical="center" wrapText="1"/>
    </x:xf>
    <x:xf numFmtId="0" fontId="3" fillId="13" borderId="1" xfId="0" applyNumberFormat="1" applyFont="1" applyFill="1" applyBorder="1" applyAlignment="1">
      <x:alignment horizontal="center" vertical="center" wrapText="1"/>
    </x:xf>
    <x:xf numFmtId="0" fontId="3" fillId="14" borderId="1" xfId="0" applyNumberFormat="1" applyFont="1" applyFill="1" applyBorder="1" applyAlignment="1">
      <x:alignment horizontal="center" vertical="center" wrapText="1"/>
    </x:xf>
    <x:xf numFmtId="0" fontId="3" fillId="15" borderId="1" xfId="0" applyNumberFormat="1" applyFont="1" applyFill="1" applyBorder="1" applyAlignment="1">
      <x:alignment horizontal="center" vertical="center" wrapText="1"/>
    </x:xf>
    <x:xf numFmtId="0" fontId="3" fillId="16" borderId="1" xfId="0" applyNumberFormat="1" applyFont="1" applyFill="1" applyBorder="1" applyAlignment="1">
      <x:alignment horizontal="center" vertical="center" wrapText="1"/>
    </x:xf>
    <x:xf numFmtId="0" fontId="3" fillId="17" borderId="1" xfId="0" applyNumberFormat="1" applyFont="1" applyFill="1" applyBorder="1" applyAlignment="1">
      <x:alignment horizontal="center" vertical="center" wrapText="1"/>
    </x:xf>
    <x:xf numFmtId="0" fontId="2" fillId="0" borderId="1" xfId="0" applyNumberFormat="1" applyFont="1" applyFill="1" applyBorder="1" applyAlignment="1">
      <x:alignment vertical="top" wrapText="1"/>
    </x:xf>
    <x:xf numFmtId="0" fontId="2" fillId="0" borderId="1" xfId="0" applyNumberFormat="1" applyFont="1" applyFill="1" applyBorder="1" applyAlignment="1">
      <x:alignment horizontal="center" vertical="top" wrapText="1"/>
    </x:xf>
    <x:xf numFmtId="0" fontId="4" fillId="0" borderId="1" xfId="0" applyNumberFormat="1" applyFont="1" applyFill="1" applyBorder="1" applyAlignment="1">
      <x:alignment vertical="top" wrapText="1"/>
    </x:xf>
    <x:xf numFmtId="164" fontId="2" fillId="0" borderId="1" xfId="0" applyNumberFormat="1" applyFont="1" applyFill="1" applyBorder="1" applyAlignment="1">
      <x:alignment horizontal="center" vertical="top"/>
    </x:xf>
    <x:xf numFmtId="2" fontId="2" fillId="0" borderId="1" xfId="0" applyNumberFormat="1" applyFont="1" applyFill="1" applyBorder="1" applyAlignment="1">
      <x:alignment horizontal="center" vertical="top"/>
    </x:xf>
    <x:xf numFmtId="1" fontId="2" fillId="0" borderId="1" xfId="0" applyNumberFormat="1" applyFont="1" applyFill="1" applyBorder="1" applyAlignment="1">
      <x:alignment horizontal="center" vertical="top"/>
    </x:xf>
    <x:xf numFmtId="165" fontId="2" fillId="0" borderId="1" xfId="0" applyNumberFormat="1" applyFont="1" applyFill="1" applyBorder="1" applyAlignment="1">
      <x:alignment vertical="top" wrapText="1"/>
    </x:xf>
    <x:xf numFmtId="0" fontId="5" fillId="17" borderId="1" xfId="0" applyNumberFormat="1" applyFont="1" applyFill="1" applyBorder="1" applyAlignment="1">
      <x:alignment vertical="top" wrapText="1"/>
    </x:xf>
    <x:xf numFmtId="0" fontId="1" fillId="18" borderId="1" xfId="0" applyNumberFormat="1" applyFont="1" applyFill="1" applyBorder="1" applyAlignment="1">
      <x:alignment horizontal="center" vertical="center" wrapText="1"/>
    </x:xf>
    <x:xf numFmtId="164" fontId="2" fillId="0" borderId="1" xfId="0" applyNumberFormat="1" applyFont="1" applyFill="1" applyBorder="1" applyAlignment="1">
      <x:alignment horizontal="center" vertical="top" wrapText="1"/>
    </x:xf>
    <x:xf numFmtId="2" fontId="2"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center" wrapText="1"/>
    </x:xf>
    <x:xf numFmtId="0" fontId="5" fillId="0" borderId="1" xfId="0" applyNumberFormat="1" applyFont="1" applyFill="1" applyBorder="1" applyAlignment="1">
      <x:alignment vertical="top" wrapText="1"/>
    </x:xf>
    <x:xf numFmtId="0" fontId="1" fillId="7" borderId="1" xfId="0" applyNumberFormat="1" applyFont="1" applyFill="1" applyBorder="1" applyAlignment="1">
      <x:alignment horizontal="center" vertical="center" wrapText="1"/>
    </x:xf>
    <x:xf numFmtId="0" fontId="1" fillId="8" borderId="1" xfId="0" applyNumberFormat="1" applyFont="1" applyFill="1" applyBorder="1" applyAlignment="1">
      <x:alignment horizontal="center" vertical="center" wrapText="1"/>
    </x:xf>
    <x:xf numFmtId="0" fontId="1" fillId="9"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xf numFmtId="0" fontId="1" fillId="5" borderId="1" xfId="0" applyNumberFormat="1" applyFont="1" applyFill="1" applyBorder="1" applyAlignment="1">
      <x:alignment horizontal="center" vertical="center" wrapText="1"/>
    </x:xf>
    <x:xf numFmtId="0" fontId="1" fillId="6" borderId="1" xfId="0" applyNumberFormat="1" applyFont="1" applyFill="1" applyBorder="1" applyAlignment="1">
      <x:alignment horizontal="center" vertical="center" wrapText="1"/>
    </x:xf>
    <x:xf numFmtId="0" fontId="1" fillId="19" borderId="0" xfId="0" applyNumberFormat="1" applyFont="1" applyFill="1" applyBorder="1" applyAlignment="1">
      <x:alignment horizontal="center" vertical="center" wrapText="1"/>
    </x:xf>
    <x:xf numFmtId="0" fontId="0" fillId="19" borderId="0" xfId="0" applyNumberFormat="1" applyFont="1" applyFill="1" applyBorder="1"/>
    <x:xf numFmtId="0" fontId="6" fillId="19" borderId="0" xfId="0" applyNumberFormat="1" applyFont="1" applyFill="1" applyBorder="1"/>
    <x:xf numFmtId="0" fontId="6" fillId="19" borderId="0" xfId="0" applyNumberFormat="1" applyFont="1" applyFill="1" applyBorder="1" applyAlignment="1">
      <x:alignment wrapText="1"/>
    </x:xf>
    <x:xf numFmtId="0" fontId="6" fillId="19" borderId="0" xfId="0" applyNumberFormat="1" applyFont="1" applyFill="1" applyBorder="1" applyAlignment="1">
      <x:alignment horizontal="center" wrapText="1"/>
    </x:xf>
    <x:xf numFmtId="0" fontId="6" fillId="19" borderId="0" xfId="0" applyNumberFormat="1" applyFont="1" applyFill="1" applyBorder="1" applyAlignment="1">
      <x:alignment horizontal="center" vertical="center" wrapText="1"/>
    </x:xf>
    <x:xf numFmtId="0" fontId="1" fillId="19" borderId="1" xfId="0" applyNumberFormat="1" applyFont="1" applyFill="1" applyBorder="1" applyAlignment="1">
      <x:alignment horizontal="center" vertical="center" wrapText="1"/>
    </x:xf>
    <x:xf numFmtId="0" fontId="0" fillId="19" borderId="1" xfId="0" applyNumberFormat="1" applyFont="1" applyFill="1" applyBorder="1"/>
    <x:xf numFmtId="0" fontId="6" fillId="19" borderId="1" xfId="0" applyNumberFormat="1" applyFont="1" applyFill="1" applyBorder="1"/>
    <x:xf numFmtId="0" fontId="6" fillId="19" borderId="1" xfId="0" applyNumberFormat="1" applyFont="1" applyFill="1" applyBorder="1" applyAlignment="1">
      <x:alignment wrapText="1"/>
    </x:xf>
    <x:xf numFmtId="0" fontId="6" fillId="19" borderId="1" xfId="0" applyNumberFormat="1" applyFont="1" applyFill="1" applyBorder="1" applyAlignment="1">
      <x:alignment horizontal="center" wrapText="1"/>
    </x:xf>
    <x:xf numFmtId="0" fontId="6" fillId="19" borderId="1" xfId="0" applyNumberFormat="1" applyFont="1" applyFill="1" applyBorder="1" applyAlignment="1">
      <x:alignment horizontal="center" vertical="center" wrapText="1"/>
    </x:xf>
    <x:xf numFmtId="0" fontId="3" fillId="20" borderId="0" xfId="0" applyNumberFormat="1" applyFont="1" applyFill="1" applyBorder="1" applyAlignment="1">
      <x:alignment horizontal="center" vertical="center" wrapText="1"/>
    </x:xf>
    <x:xf numFmtId="0" fontId="0" fillId="20" borderId="0" xfId="0" applyNumberFormat="1" applyFont="1" applyFill="1" applyBorder="1"/>
    <x:xf numFmtId="0" fontId="7" fillId="20" borderId="0" xfId="0" applyNumberFormat="1" applyFont="1" applyFill="1" applyBorder="1"/>
    <x:xf numFmtId="0" fontId="7" fillId="20" borderId="0" xfId="0" applyNumberFormat="1" applyFont="1" applyFill="1" applyBorder="1" applyAlignment="1">
      <x:alignment wrapText="1"/>
    </x:xf>
    <x:xf numFmtId="0" fontId="7" fillId="20" borderId="0" xfId="0" applyNumberFormat="1" applyFont="1" applyFill="1" applyBorder="1" applyAlignment="1">
      <x:alignment horizontal="center" wrapText="1"/>
    </x:xf>
    <x:xf numFmtId="0" fontId="7" fillId="20" borderId="0" xfId="0" applyNumberFormat="1" applyFont="1" applyFill="1" applyBorder="1" applyAlignment="1">
      <x:alignment horizontal="center" vertical="center" wrapText="1"/>
    </x:xf>
    <x:xf numFmtId="0" fontId="3" fillId="20" borderId="1" xfId="0" applyNumberFormat="1" applyFont="1" applyFill="1" applyBorder="1" applyAlignment="1">
      <x:alignment horizontal="center" vertical="center" wrapText="1"/>
    </x:xf>
    <x:xf numFmtId="0" fontId="0" fillId="20" borderId="1" xfId="0" applyNumberFormat="1" applyFont="1" applyFill="1" applyBorder="1"/>
    <x:xf numFmtId="0" fontId="7" fillId="20" borderId="1" xfId="0" applyNumberFormat="1" applyFont="1" applyFill="1" applyBorder="1"/>
    <x:xf numFmtId="0" fontId="7" fillId="20" borderId="1" xfId="0" applyNumberFormat="1" applyFont="1" applyFill="1" applyBorder="1" applyAlignment="1">
      <x:alignment wrapText="1"/>
    </x:xf>
    <x:xf numFmtId="0" fontId="7" fillId="20" borderId="1" xfId="0" applyNumberFormat="1" applyFont="1" applyFill="1" applyBorder="1" applyAlignment="1">
      <x:alignment horizontal="center" wrapText="1"/>
    </x:xf>
    <x:xf numFmtId="0" fontId="7" fillId="20" borderId="1" xfId="0" applyNumberFormat="1" applyFont="1" applyFill="1" applyBorder="1" applyAlignment="1">
      <x:alignment horizontal="center" vertical="center" wrapText="1"/>
    </x:xf>
    <x:xf numFmtId="0" fontId="2" fillId="0"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2" fillId="0"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x:xf>
    <x:xf numFmtId="0" fontId="2" fillId="0"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x:xf>
    <x:xf numFmtId="0" fontId="0" fillId="0" borderId="0"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0" xfId="0" applyNumberFormat="1" applyFont="1" applyFill="1" applyBorder="1" applyAlignment="1">
      <x:alignment wrapText="1"/>
    </x:xf>
    <x:xf numFmtId="0" fontId="6" fillId="21" borderId="0" xfId="0" applyNumberFormat="1" applyFont="1" applyFill="1" applyBorder="1" applyAlignment="1">
      <x:alignment horizontal="center" wrapText="1"/>
    </x:xf>
    <x:xf numFmtId="0" fontId="6" fillId="21" borderId="0" xfId="0" applyNumberFormat="1" applyFont="1" applyFill="1" applyBorder="1" applyAlignment="1">
      <x:alignment horizontal="center" vertical="center" wrapText="1"/>
    </x:xf>
    <x:xf numFmtId="0" fontId="0" fillId="21" borderId="1" xfId="0" applyNumberFormat="1" applyFont="1" applyFill="1" applyBorder="1"/>
    <x:xf numFmtId="0" fontId="6" fillId="21" borderId="1" xfId="0" applyNumberFormat="1" applyFont="1" applyFill="1" applyBorder="1"/>
    <x:xf numFmtId="0" fontId="6" fillId="21" borderId="1" xfId="0" applyNumberFormat="1" applyFont="1" applyFill="1" applyBorder="1" applyAlignment="1">
      <x:alignment wrapText="1"/>
    </x:xf>
    <x:xf numFmtId="0" fontId="6" fillId="21" borderId="1" xfId="0" applyNumberFormat="1" applyFont="1" applyFill="1" applyBorder="1" applyAlignment="1">
      <x:alignment horizontal="center" wrapText="1"/>
    </x:xf>
    <x:xf numFmtId="0" fontId="6" fillId="21"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22" borderId="0" xfId="0" applyNumberFormat="1" applyFont="1" applyFill="1" applyBorder="1" applyAlignment="1">
      <x:alignment vertical="center" wrapText="1"/>
    </x:xf>
    <x:xf numFmtId="0" fontId="8" fillId="22" borderId="0" xfId="0" applyNumberFormat="1" applyFont="1" applyFill="1" applyBorder="1" applyAlignment="1">
      <x:alignment vertical="center" wrapText="1"/>
    </x:xf>
    <x:xf numFmtId="0" fontId="8" fillId="22" borderId="0" xfId="0" applyNumberFormat="1" applyFont="1" applyFill="1" applyBorder="1" applyAlignment="1">
      <x:alignment horizontal="center" vertical="center" wrapText="1"/>
    </x:xf>
    <x:xf numFmtId="0" fontId="0" fillId="22" borderId="1" xfId="0" applyNumberFormat="1" applyFont="1" applyFill="1" applyBorder="1" applyAlignment="1">
      <x:alignment vertical="center" wrapText="1"/>
    </x:xf>
    <x:xf numFmtId="0" fontId="8" fillId="22" borderId="1" xfId="0" applyNumberFormat="1" applyFont="1" applyFill="1" applyBorder="1" applyAlignment="1">
      <x:alignment vertical="center" wrapText="1"/>
    </x:xf>
    <x:xf numFmtId="0" fontId="8" fillId="22" borderId="1" xfId="0" applyNumberFormat="1" applyFont="1" applyFill="1" applyBorder="1" applyAlignment="1">
      <x:alignment horizontal="center" vertical="center" wrapText="1"/>
    </x:xf>
    <x:xf numFmtId="0" fontId="0" fillId="23" borderId="0" xfId="0" applyNumberFormat="1" applyFont="1" applyFill="1" applyBorder="1" applyAlignment="1">
      <x:alignment vertical="center" wrapText="1"/>
    </x:xf>
    <x:xf numFmtId="0" fontId="9" fillId="23" borderId="0" xfId="0" applyNumberFormat="1" applyFont="1" applyFill="1" applyBorder="1" applyAlignment="1">
      <x:alignment vertical="center" wrapText="1"/>
    </x:xf>
    <x:xf numFmtId="0" fontId="9" fillId="23" borderId="0" xfId="0" applyNumberFormat="1" applyFont="1" applyFill="1" applyBorder="1" applyAlignment="1">
      <x:alignment horizontal="center" vertical="center" wrapText="1"/>
    </x:xf>
    <x:xf numFmtId="0" fontId="0" fillId="23" borderId="1" xfId="0" applyNumberFormat="1" applyFont="1" applyFill="1" applyBorder="1" applyAlignment="1">
      <x:alignment vertical="center" wrapText="1"/>
    </x:xf>
    <x:xf numFmtId="0" fontId="9" fillId="23" borderId="1" xfId="0" applyNumberFormat="1" applyFont="1" applyFill="1" applyBorder="1" applyAlignment="1">
      <x:alignment vertical="center" wrapText="1"/>
    </x:xf>
    <x:xf numFmtId="0" fontId="9" fillId="23" borderId="1" xfId="0" applyNumberFormat="1" applyFont="1" applyFill="1" applyBorder="1" applyAlignment="1">
      <x:alignment horizontal="center" vertical="center" wrapText="1"/>
    </x:xf>
    <x:xf numFmtId="0" fontId="0" fillId="24" borderId="0" xfId="0" applyNumberFormat="1" applyFont="1" applyFill="1" applyBorder="1" applyAlignment="1">
      <x:alignment vertical="center" wrapText="1"/>
    </x:xf>
    <x:xf numFmtId="0" fontId="10" fillId="24" borderId="0" xfId="0" applyNumberFormat="1" applyFont="1" applyFill="1" applyBorder="1" applyAlignment="1">
      <x:alignment vertical="center" wrapText="1"/>
    </x:xf>
    <x:xf numFmtId="0" fontId="10" fillId="24" borderId="0" xfId="0" applyNumberFormat="1" applyFont="1" applyFill="1" applyBorder="1" applyAlignment="1">
      <x:alignment horizontal="center" vertical="center" wrapText="1"/>
    </x:xf>
    <x:xf numFmtId="0" fontId="0" fillId="24" borderId="1" xfId="0" applyNumberFormat="1" applyFont="1" applyFill="1" applyBorder="1" applyAlignment="1">
      <x:alignment vertical="center" wrapText="1"/>
    </x:xf>
    <x:xf numFmtId="0" fontId="10" fillId="24" borderId="1" xfId="0" applyNumberFormat="1" applyFont="1" applyFill="1" applyBorder="1" applyAlignment="1">
      <x:alignment vertical="center" wrapText="1"/>
    </x:xf>
    <x:xf numFmtId="0" fontId="10" fillId="24" borderId="1" xfId="0" applyNumberFormat="1" applyFont="1" applyFill="1" applyBorder="1" applyAlignment="1">
      <x:alignment horizontal="center" vertical="center" wrapText="1"/>
    </x:xf>
    <x:xf numFmtId="0" fontId="6" fillId="21" borderId="0" xfId="0" applyNumberFormat="1" applyFont="1" applyFill="1" applyBorder="1" applyAlignment="1">
      <x:alignment horizontal="left"/>
    </x:xf>
    <x:xf numFmtId="0" fontId="6" fillId="21" borderId="0" xfId="0" applyNumberFormat="1" applyFont="1" applyFill="1" applyBorder="1" applyAlignment="1">
      <x:alignment horizontal="left" vertical="center"/>
    </x:xf>
    <x:xf numFmtId="0" fontId="6" fillId="21" borderId="1" xfId="0" applyNumberFormat="1" applyFont="1" applyFill="1" applyBorder="1" applyAlignment="1">
      <x:alignment horizontal="left"/>
    </x:xf>
    <x:xf numFmtId="0" fontId="6" fillId="21" borderId="1" xfId="0" applyNumberFormat="1" applyFont="1" applyFill="1" applyBorder="1" applyAlignment="1">
      <x:alignment horizontal="left" vertical="center"/>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horizontal="center" wrapText="1"/>
    </x:xf>
    <x:xf numFmtId="0" fontId="11" fillId="0" borderId="0" xfId="0" applyNumberFormat="1" applyFont="1" applyFill="1" applyBorder="1" applyAlignment="1">
      <x:alignment horizontal="center" vertical="center"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horizontal="center" wrapText="1"/>
    </x:xf>
    <x:xf numFmtId="0" fontId="11" fillId="0" borderId="1" xfId="0" applyNumberFormat="1" applyFont="1" applyFill="1" applyBorder="1" applyAlignment="1">
      <x:alignment horizontal="center" vertical="center" wrapText="1"/>
    </x:xf>
    <x:xf numFmtId="0" fontId="11" fillId="22" borderId="0" xfId="0" applyNumberFormat="1" applyFont="1" applyFill="1" applyBorder="1" applyAlignment="1">
      <x:alignment horizontal="center" vertical="center" wrapText="1"/>
    </x:xf>
    <x:xf numFmtId="0" fontId="11" fillId="22" borderId="1" xfId="0" applyNumberFormat="1" applyFont="1" applyFill="1" applyBorder="1" applyAlignment="1">
      <x:alignment horizontal="center" vertical="center" wrapText="1"/>
    </x:xf>
    <x:xf numFmtId="0" fontId="12" fillId="22" borderId="0" xfId="0" applyNumberFormat="1" applyFont="1" applyFill="1" applyBorder="1" applyAlignment="1">
      <x:alignment horizontal="center" vertical="center" wrapText="1"/>
    </x:xf>
    <x:xf numFmtId="0" fontId="12" fillId="22" borderId="1" xfId="0" applyNumberFormat="1" applyFont="1" applyFill="1" applyBorder="1" applyAlignment="1">
      <x:alignment horizontal="center" vertical="center" wrapText="1"/>
    </x:xf>
    <x:xf numFmtId="0" fontId="11" fillId="24" borderId="0" xfId="0" applyNumberFormat="1" applyFont="1" applyFill="1" applyBorder="1" applyAlignment="1">
      <x:alignment horizontal="center" vertical="center" wrapText="1"/>
    </x:xf>
    <x:xf numFmtId="0" fontId="11" fillId="24" borderId="1" xfId="0" applyNumberFormat="1" applyFont="1" applyFill="1" applyBorder="1" applyAlignment="1">
      <x:alignment horizontal="center" vertical="center" wrapText="1"/>
    </x:xf>
    <x:xf numFmtId="0" fontId="13" fillId="24" borderId="0" xfId="0" applyNumberFormat="1" applyFont="1" applyFill="1" applyBorder="1" applyAlignment="1">
      <x:alignment horizontal="center" vertical="center" wrapText="1"/>
    </x:xf>
    <x:xf numFmtId="0" fontId="13" fillId="24" borderId="1" xfId="0" applyNumberFormat="1" applyFont="1" applyFill="1" applyBorder="1" applyAlignment="1">
      <x:alignment horizontal="center" vertical="center" wrapText="1"/>
    </x:xf>
    <x:xf numFmtId="0" fontId="11" fillId="23" borderId="0" xfId="0" applyNumberFormat="1" applyFont="1" applyFill="1" applyBorder="1" applyAlignment="1">
      <x:alignment horizontal="center" vertical="center" wrapText="1"/>
    </x:xf>
    <x:xf numFmtId="0" fontId="11" fillId="23" borderId="1" xfId="0" applyNumberFormat="1" applyFont="1" applyFill="1" applyBorder="1" applyAlignment="1">
      <x:alignment horizontal="center" vertical="center" wrapText="1"/>
    </x:xf>
    <x:xf numFmtId="0" fontId="14" fillId="23" borderId="0" xfId="0" applyNumberFormat="1" applyFont="1" applyFill="1" applyBorder="1" applyAlignment="1">
      <x:alignment horizontal="center" vertical="center" wrapText="1"/>
    </x:xf>
    <x:xf numFmtId="0" fontId="14" fillId="23" borderId="1" xfId="0" applyNumberFormat="1" applyFont="1" applyFill="1" applyBorder="1" applyAlignment="1">
      <x:alignment horizontal="center" vertical="center" wrapText="1"/>
    </x:xf>
    <x:xf numFmtId="0" fontId="6" fillId="19" borderId="0" xfId="0" applyNumberFormat="1" applyFont="1" applyFill="1" applyBorder="1" applyAlignment="1">
      <x:alignment horizontal="left"/>
    </x:xf>
    <x:xf numFmtId="0" fontId="6" fillId="19" borderId="0" xfId="0" applyNumberFormat="1" applyFont="1" applyFill="1" applyBorder="1" applyAlignment="1">
      <x:alignment horizontal="left" vertical="center"/>
    </x:xf>
    <x:xf numFmtId="0" fontId="6" fillId="19" borderId="1" xfId="0" applyNumberFormat="1" applyFont="1" applyFill="1" applyBorder="1" applyAlignment="1">
      <x:alignment horizontal="left"/>
    </x:xf>
    <x:xf numFmtId="0" fontId="6" fillId="19" borderId="1" xfId="0" applyNumberFormat="1" applyFont="1" applyFill="1" applyBorder="1" applyAlignment="1">
      <x:alignment horizontal="left" vertical="center"/>
    </x:xf>
    <x:xf numFmtId="0" fontId="11" fillId="0" borderId="0" xfId="0" applyNumberFormat="1" applyFont="1" applyFill="1" applyBorder="1" applyAlignment="1">
      <x:alignment vertical="center" wrapText="1"/>
    </x:xf>
    <x:xf numFmtId="0" fontId="11" fillId="0" borderId="1" xfId="0" applyNumberFormat="1" applyFont="1" applyFill="1" applyBorder="1" applyAlignment="1">
      <x:alignment vertical="center" wrapText="1"/>
    </x:xf>
    <x:xf numFmtId="0" fontId="0" fillId="22" borderId="0" xfId="0" applyNumberFormat="1" applyFont="1" applyFill="1" applyBorder="1"/>
    <x:xf numFmtId="0" fontId="12" fillId="22" borderId="0" xfId="0" applyNumberFormat="1" applyFont="1" applyFill="1" applyBorder="1"/>
    <x:xf numFmtId="0" fontId="12" fillId="22" borderId="0" xfId="0" applyNumberFormat="1" applyFont="1" applyFill="1" applyBorder="1" applyAlignment="1">
      <x:alignment wrapText="1"/>
    </x:xf>
    <x:xf numFmtId="0" fontId="12" fillId="22" borderId="0" xfId="0" applyNumberFormat="1" applyFont="1" applyFill="1" applyBorder="1" applyAlignment="1">
      <x:alignment horizontal="center" wrapText="1"/>
    </x:xf>
    <x:xf numFmtId="0" fontId="0" fillId="22" borderId="1" xfId="0" applyNumberFormat="1" applyFont="1" applyFill="1" applyBorder="1"/>
    <x:xf numFmtId="0" fontId="12" fillId="22" borderId="1" xfId="0" applyNumberFormat="1" applyFont="1" applyFill="1" applyBorder="1"/>
    <x:xf numFmtId="0" fontId="12" fillId="22" borderId="1" xfId="0" applyNumberFormat="1" applyFont="1" applyFill="1" applyBorder="1" applyAlignment="1">
      <x:alignment wrapText="1"/>
    </x:xf>
    <x:xf numFmtId="0" fontId="12" fillId="22" borderId="1" xfId="0" applyNumberFormat="1" applyFont="1" applyFill="1" applyBorder="1" applyAlignment="1">
      <x:alignment horizontal="center" wrapText="1"/>
    </x:xf>
    <x:xf numFmtId="0" fontId="0" fillId="0" borderId="0" xfId="0" applyNumberFormat="1" applyFont="1" applyFill="1" applyBorder="1"/>
    <x:xf numFmtId="0" fontId="0" fillId="24" borderId="0" xfId="0" applyNumberFormat="1" applyFont="1" applyFill="1" applyBorder="1"/>
    <x:xf numFmtId="0" fontId="13" fillId="24" borderId="0" xfId="0" applyNumberFormat="1" applyFont="1" applyFill="1" applyBorder="1"/>
    <x:xf numFmtId="0" fontId="13" fillId="24" borderId="0" xfId="0" applyNumberFormat="1" applyFont="1" applyFill="1" applyBorder="1" applyAlignment="1">
      <x:alignment wrapText="1"/>
    </x:xf>
    <x:xf numFmtId="0" fontId="13" fillId="24" borderId="0" xfId="0" applyNumberFormat="1" applyFont="1" applyFill="1" applyBorder="1" applyAlignment="1">
      <x:alignment horizontal="center" wrapText="1"/>
    </x:xf>
    <x:xf numFmtId="0" fontId="0" fillId="24" borderId="1" xfId="0" applyNumberFormat="1" applyFont="1" applyFill="1" applyBorder="1"/>
    <x:xf numFmtId="0" fontId="13" fillId="24" borderId="1" xfId="0" applyNumberFormat="1" applyFont="1" applyFill="1" applyBorder="1"/>
    <x:xf numFmtId="0" fontId="13" fillId="24" borderId="1" xfId="0" applyNumberFormat="1" applyFont="1" applyFill="1" applyBorder="1" applyAlignment="1">
      <x:alignment wrapText="1"/>
    </x:xf>
    <x:xf numFmtId="0" fontId="13" fillId="24" borderId="1" xfId="0" applyNumberFormat="1" applyFont="1" applyFill="1" applyBorder="1" applyAlignment="1">
      <x:alignment horizontal="center" wrapText="1"/>
    </x:xf>
    <x:xf numFmtId="0" fontId="0" fillId="23" borderId="0" xfId="0" applyNumberFormat="1" applyFont="1" applyFill="1" applyBorder="1"/>
    <x:xf numFmtId="0" fontId="14" fillId="23" borderId="0" xfId="0" applyNumberFormat="1" applyFont="1" applyFill="1" applyBorder="1"/>
    <x:xf numFmtId="0" fontId="14" fillId="23" borderId="0" xfId="0" applyNumberFormat="1" applyFont="1" applyFill="1" applyBorder="1" applyAlignment="1">
      <x:alignment wrapText="1"/>
    </x:xf>
    <x:xf numFmtId="0" fontId="14" fillId="23" borderId="0" xfId="0" applyNumberFormat="1" applyFont="1" applyFill="1" applyBorder="1" applyAlignment="1">
      <x:alignment horizontal="center" wrapText="1"/>
    </x:xf>
    <x:xf numFmtId="0" fontId="0" fillId="23" borderId="1" xfId="0" applyNumberFormat="1" applyFont="1" applyFill="1" applyBorder="1"/>
    <x:xf numFmtId="0" fontId="14" fillId="23" borderId="1" xfId="0" applyNumberFormat="1" applyFont="1" applyFill="1" applyBorder="1"/>
    <x:xf numFmtId="0" fontId="14" fillId="23" borderId="1" xfId="0" applyNumberFormat="1" applyFont="1" applyFill="1" applyBorder="1" applyAlignment="1">
      <x:alignment wrapText="1"/>
    </x:xf>
    <x:xf numFmtId="0" fontId="14" fillId="23" borderId="1" xfId="0" applyNumberFormat="1" applyFont="1" applyFill="1" applyBorder="1" applyAlignment="1">
      <x:alignment horizontal="center" wrapText="1"/>
    </x:xf>
    <x:xf numFmtId="0" fontId="6" fillId="21" borderId="0" xfId="0" applyNumberFormat="1" applyFont="1" applyFill="1" applyBorder="1" applyAlignment="1">
      <x:alignment horizontal="left" vertical="center" wrapText="1"/>
    </x:xf>
    <x:xf numFmtId="0" fontId="6" fillId="21" borderId="1" xfId="0" applyNumberFormat="1" applyFont="1" applyFill="1" applyBorder="1" applyAlignment="1">
      <x:alignment horizontal="left" vertical="center" wrapText="1"/>
    </x:xf>
    <x:xf numFmtId="0" fontId="6" fillId="19" borderId="0" xfId="0" applyNumberFormat="1" applyFont="1" applyFill="1" applyBorder="1" applyAlignment="1">
      <x:alignment horizontal="left" vertical="center" wrapText="1"/>
    </x:xf>
    <x:xf numFmtId="0" fontId="1" fillId="2" borderId="0" xfId="0" applyNumberFormat="1" applyFont="1" applyFill="1" applyBorder="1" applyAlignment="1">
      <x:alignment horizontal="center" vertical="center" wrapText="1"/>
    </x:xf>
    <x:xf numFmtId="0" fontId="3" fillId="10" borderId="0" xfId="0" applyNumberFormat="1" applyFont="1" applyFill="1" applyBorder="1" applyAlignment="1">
      <x:alignment horizontal="center" vertical="center" wrapText="1"/>
    </x:xf>
    <x:xf numFmtId="0" fontId="3" fillId="11" borderId="0" xfId="0" applyNumberFormat="1" applyFont="1" applyFill="1" applyBorder="1" applyAlignment="1">
      <x:alignment horizontal="center" vertical="center" wrapText="1"/>
    </x:xf>
    <x:xf numFmtId="0" fontId="3" fillId="12" borderId="0" xfId="0" applyNumberFormat="1" applyFont="1" applyFill="1" applyBorder="1" applyAlignment="1">
      <x:alignment horizontal="center" vertical="center" wrapText="1"/>
    </x:xf>
    <x:xf numFmtId="0" fontId="3" fillId="13" borderId="0" xfId="0" applyNumberFormat="1" applyFont="1" applyFill="1" applyBorder="1" applyAlignment="1">
      <x:alignment horizontal="center" vertical="center" wrapText="1"/>
    </x:xf>
    <x:xf numFmtId="0" fontId="3" fillId="14" borderId="0" xfId="0" applyNumberFormat="1" applyFont="1" applyFill="1" applyBorder="1" applyAlignment="1">
      <x:alignment horizontal="center" vertical="center" wrapText="1"/>
    </x:xf>
    <x:xf numFmtId="0" fontId="3" fillId="15" borderId="0" xfId="0" applyNumberFormat="1" applyFont="1" applyFill="1" applyBorder="1" applyAlignment="1">
      <x:alignment horizontal="center" vertical="center" wrapText="1"/>
    </x:xf>
    <x:xf numFmtId="0" fontId="3" fillId="16" borderId="0" xfId="0" applyNumberFormat="1" applyFont="1" applyFill="1" applyBorder="1" applyAlignment="1">
      <x:alignment horizontal="center" vertical="center" wrapText="1"/>
    </x:xf>
    <x:xf numFmtId="0" fontId="3" fillId="17"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164" fontId="2" fillId="0" borderId="0" xfId="0" applyNumberFormat="1" applyFont="1" applyFill="1" applyBorder="1" applyAlignment="1">
      <x:alignment horizontal="center" vertical="top"/>
    </x:xf>
    <x:xf numFmtId="2" fontId="2" fillId="0" borderId="0" xfId="0" applyNumberFormat="1" applyFont="1" applyFill="1" applyBorder="1" applyAlignment="1">
      <x:alignment horizontal="center" vertical="top"/>
    </x:xf>
    <x:xf numFmtId="1" fontId="2" fillId="0" borderId="0" xfId="0" applyNumberFormat="1" applyFont="1" applyFill="1" applyBorder="1" applyAlignment="1">
      <x:alignment horizontal="center" vertical="top"/>
    </x:xf>
    <x:xf numFmtId="165" fontId="2" fillId="0" borderId="0" xfId="0" applyNumberFormat="1" applyFont="1" applyFill="1" applyBorder="1" applyAlignment="1">
      <x:alignment vertical="top" wrapText="1"/>
    </x:xf>
    <x:xf numFmtId="0" fontId="5" fillId="17" borderId="0" xfId="0" applyNumberFormat="1" applyFont="1" applyFill="1" applyBorder="1" applyAlignment="1">
      <x:alignment vertical="top" wrapText="1"/>
    </x:xf>
    <x:xf numFmtId="0" fontId="1" fillId="18" borderId="0" xfId="0" applyNumberFormat="1" applyFont="1" applyFill="1" applyBorder="1" applyAlignment="1">
      <x:alignment horizontal="center" vertical="center" wrapText="1"/>
    </x:xf>
    <x:xf numFmtId="164" fontId="2" fillId="0" borderId="0" xfId="0" applyNumberFormat="1" applyFont="1" applyFill="1" applyBorder="1" applyAlignment="1">
      <x:alignment horizontal="center" vertical="top" wrapText="1"/>
    </x:xf>
    <x:xf numFmtId="2" fontId="2"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center" wrapText="1"/>
    </x:xf>
    <x:xf numFmtId="0" fontId="5" fillId="0" borderId="0" xfId="0" applyNumberFormat="1" applyFont="1" applyFill="1" applyBorder="1" applyAlignment="1">
      <x:alignment vertical="top" wrapText="1"/>
    </x:xf>
    <x:xf numFmtId="0" fontId="1" fillId="7" borderId="0" xfId="0" applyNumberFormat="1" applyFont="1" applyFill="1" applyBorder="1" applyAlignment="1">
      <x:alignment horizontal="center" vertical="center" wrapText="1"/>
    </x:xf>
    <x:xf numFmtId="0" fontId="1" fillId="8" borderId="0" xfId="0" applyNumberFormat="1" applyFont="1" applyFill="1" applyBorder="1" applyAlignment="1">
      <x:alignment horizontal="center" vertical="center" wrapText="1"/>
    </x:xf>
    <x:xf numFmtId="0" fontId="1" fillId="9"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horizontal="center" wrapText="1"/>
    </x:xf>
    <x:xf numFmtId="0" fontId="6" fillId="9" borderId="0" xfId="0" applyNumberFormat="1" applyFont="1" applyFill="1" applyBorder="1" applyAlignment="1">
      <x:alignment horizontal="center" vertical="center" wrapText="1"/>
    </x:xf>
    <x:xf numFmtId="0" fontId="0" fillId="17" borderId="0" xfId="0" applyNumberFormat="1" applyFont="1" applyFill="1" applyBorder="1"/>
    <x:xf numFmtId="0" fontId="7" fillId="17" borderId="0" xfId="0" applyNumberFormat="1" applyFont="1" applyFill="1" applyBorder="1"/>
    <x:xf numFmtId="0" fontId="7" fillId="17" borderId="0" xfId="0" applyNumberFormat="1" applyFont="1" applyFill="1" applyBorder="1" applyAlignment="1">
      <x:alignment wrapText="1"/>
    </x:xf>
    <x:xf numFmtId="0" fontId="7" fillId="17" borderId="0" xfId="0" applyNumberFormat="1" applyFont="1" applyFill="1" applyBorder="1" applyAlignment="1">
      <x:alignment horizontal="center" wrapText="1"/>
    </x:xf>
    <x:xf numFmtId="0" fontId="7" fillId="17" borderId="0" xfId="0" applyNumberFormat="1" applyFont="1" applyFill="1" applyBorder="1" applyAlignment="1">
      <x:alignment horizontal="center" vertical="center" wrapText="1"/>
    </x:xf>
    <x:xf numFmtId="0" fontId="0" fillId="18" borderId="0" xfId="0" applyNumberFormat="1" applyFont="1" applyFill="1" applyBorder="1"/>
    <x:xf numFmtId="0" fontId="6" fillId="18" borderId="0" xfId="0" applyNumberFormat="1" applyFont="1" applyFill="1" applyBorder="1"/>
    <x:xf numFmtId="0" fontId="6" fillId="18" borderId="0" xfId="0" applyNumberFormat="1" applyFont="1" applyFill="1" applyBorder="1" applyAlignment="1">
      <x:alignment wrapText="1"/>
    </x:xf>
    <x:xf numFmtId="0" fontId="6" fillId="18" borderId="0" xfId="0" applyNumberFormat="1" applyFont="1" applyFill="1" applyBorder="1" applyAlignment="1">
      <x:alignment horizontal="center" wrapText="1"/>
    </x:xf>
    <x:xf numFmtId="0" fontId="6" fillId="18" borderId="0" xfId="0" applyNumberFormat="1" applyFont="1" applyFill="1" applyBorder="1" applyAlignment="1">
      <x:alignment horizontal="center" vertical="center" wrapText="1"/>
    </x:xf>
    <x:xf numFmtId="0" fontId="0" fillId="13" borderId="0" xfId="0" applyNumberFormat="1" applyFont="1" applyFill="1" applyBorder="1" applyAlignment="1">
      <x:alignment vertical="center" wrapText="1"/>
    </x:xf>
    <x:xf numFmtId="0" fontId="8" fillId="13" borderId="0" xfId="0" applyNumberFormat="1" applyFont="1" applyFill="1" applyBorder="1" applyAlignment="1">
      <x:alignment vertical="center" wrapText="1"/>
    </x:xf>
    <x:xf numFmtId="0" fontId="8" fillId="13" borderId="0" xfId="0" applyNumberFormat="1" applyFont="1" applyFill="1" applyBorder="1" applyAlignment="1">
      <x:alignment horizontal="center" vertical="center" wrapText="1"/>
    </x:xf>
    <x:xf numFmtId="0" fontId="0" fillId="11" borderId="0" xfId="0" applyNumberFormat="1" applyFont="1" applyFill="1" applyBorder="1" applyAlignment="1">
      <x:alignment vertical="center" wrapText="1"/>
    </x:xf>
    <x:xf numFmtId="0" fontId="9" fillId="11" borderId="0" xfId="0" applyNumberFormat="1" applyFont="1" applyFill="1" applyBorder="1" applyAlignment="1">
      <x:alignment vertical="center" wrapText="1"/>
    </x:xf>
    <x:xf numFmtId="0" fontId="9" fillId="11" borderId="0" xfId="0" applyNumberFormat="1" applyFont="1" applyFill="1" applyBorder="1" applyAlignment="1">
      <x:alignment horizontal="center" vertical="center" wrapText="1"/>
    </x:xf>
    <x:xf numFmtId="0" fontId="0" fillId="12" borderId="0" xfId="0" applyNumberFormat="1" applyFont="1" applyFill="1" applyBorder="1" applyAlignment="1">
      <x:alignment vertical="center" wrapText="1"/>
    </x:xf>
    <x:xf numFmtId="0" fontId="10" fillId="12" borderId="0" xfId="0" applyNumberFormat="1" applyFont="1" applyFill="1" applyBorder="1" applyAlignment="1">
      <x:alignment vertical="center" wrapText="1"/>
    </x:xf>
    <x:xf numFmtId="0" fontId="10" fillId="12" borderId="0" xfId="0" applyNumberFormat="1" applyFont="1" applyFill="1" applyBorder="1" applyAlignment="1">
      <x:alignment horizontal="center" vertical="center" wrapText="1"/>
    </x:xf>
    <x:xf numFmtId="0" fontId="6" fillId="18" borderId="0" xfId="0" applyNumberFormat="1" applyFont="1" applyFill="1" applyBorder="1" applyAlignment="1">
      <x:alignment horizontal="left"/>
    </x:xf>
    <x:xf numFmtId="0" fontId="6" fillId="18" borderId="0" xfId="0" applyNumberFormat="1" applyFont="1" applyFill="1" applyBorder="1" applyAlignment="1">
      <x:alignment horizontal="left" vertical="center"/>
    </x:xf>
    <x:xf numFmtId="0" fontId="11" fillId="13" borderId="0" xfId="0" applyNumberFormat="1" applyFont="1" applyFill="1" applyBorder="1" applyAlignment="1">
      <x:alignment horizontal="center" vertical="center" wrapText="1"/>
    </x:xf>
    <x:xf numFmtId="0" fontId="12" fillId="13" borderId="0" xfId="0" applyNumberFormat="1" applyFont="1" applyFill="1" applyBorder="1" applyAlignment="1">
      <x:alignment horizontal="center" vertical="center" wrapText="1"/>
    </x:xf>
    <x:xf numFmtId="0" fontId="11" fillId="12" borderId="0" xfId="0" applyNumberFormat="1" applyFont="1" applyFill="1" applyBorder="1" applyAlignment="1">
      <x:alignment horizontal="center" vertical="center" wrapText="1"/>
    </x:xf>
    <x:xf numFmtId="0" fontId="13" fillId="12" borderId="0" xfId="0" applyNumberFormat="1" applyFont="1" applyFill="1" applyBorder="1" applyAlignment="1">
      <x:alignment horizontal="center" vertical="center" wrapText="1"/>
    </x:xf>
    <x:xf numFmtId="0" fontId="11" fillId="11" borderId="0" xfId="0" applyNumberFormat="1" applyFont="1" applyFill="1" applyBorder="1" applyAlignment="1">
      <x:alignment horizontal="center" vertical="center" wrapText="1"/>
    </x:xf>
    <x:xf numFmtId="0" fontId="14" fillId="11" borderId="0" xfId="0" applyNumberFormat="1" applyFont="1" applyFill="1" applyBorder="1" applyAlignment="1">
      <x:alignment horizontal="center" vertical="center" wrapText="1"/>
    </x:xf>
    <x:xf numFmtId="0" fontId="6" fillId="9" borderId="0" xfId="0" applyNumberFormat="1" applyFont="1" applyFill="1" applyBorder="1" applyAlignment="1">
      <x:alignment horizontal="left"/>
    </x:xf>
    <x:xf numFmtId="0" fontId="6" fillId="9" borderId="0" xfId="0" applyNumberFormat="1" applyFont="1" applyFill="1" applyBorder="1" applyAlignment="1">
      <x:alignment horizontal="left" vertical="center"/>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wrapText="1"/>
    </x:xf>
    <x:xf numFmtId="0" fontId="12" fillId="13" borderId="0" xfId="0" applyNumberFormat="1" applyFont="1" applyFill="1" applyBorder="1" applyAlignment="1">
      <x:alignment horizontal="center" wrapText="1"/>
    </x:xf>
    <x:xf numFmtId="0" fontId="0" fillId="12" borderId="0" xfId="0" applyNumberFormat="1" applyFont="1" applyFill="1" applyBorder="1"/>
    <x:xf numFmtId="0" fontId="13" fillId="12" borderId="0" xfId="0" applyNumberFormat="1" applyFont="1" applyFill="1" applyBorder="1"/>
    <x:xf numFmtId="0" fontId="13" fillId="12" borderId="0" xfId="0" applyNumberFormat="1" applyFont="1" applyFill="1" applyBorder="1" applyAlignment="1">
      <x:alignment wrapText="1"/>
    </x:xf>
    <x:xf numFmtId="0" fontId="13" fillId="12" borderId="0" xfId="0" applyNumberFormat="1" applyFont="1" applyFill="1" applyBorder="1" applyAlignment="1">
      <x:alignment horizontal="center" wrapText="1"/>
    </x:xf>
    <x:xf numFmtId="0" fontId="0" fillId="11" borderId="0" xfId="0" applyNumberFormat="1" applyFont="1" applyFill="1" applyBorder="1"/>
    <x:xf numFmtId="0" fontId="14" fillId="11" borderId="0" xfId="0" applyNumberFormat="1" applyFont="1" applyFill="1" applyBorder="1"/>
    <x:xf numFmtId="0" fontId="14" fillId="11" borderId="0" xfId="0" applyNumberFormat="1" applyFont="1" applyFill="1" applyBorder="1" applyAlignment="1">
      <x:alignment wrapText="1"/>
    </x:xf>
    <x:xf numFmtId="0" fontId="14" fillId="11" borderId="0" xfId="0" applyNumberFormat="1" applyFont="1" applyFill="1" applyBorder="1" applyAlignment="1">
      <x:alignment horizontal="center" wrapText="1"/>
    </x:xf>
    <x:xf numFmtId="0" fontId="6" fillId="18" borderId="0" xfId="0" applyNumberFormat="1" applyFont="1" applyFill="1" applyBorder="1" applyAlignment="1">
      <x:alignment horizontal="left" vertical="center" wrapText="1"/>
    </x:xf>
    <x:xf numFmtId="0" fontId="6" fillId="9" borderId="0" xfId="0" applyNumberFormat="1" applyFont="1" applyFill="1" applyBorder="1" applyAlignment="1">
      <x:alignment horizontal="left" vertical="center" wrapText="1"/>
    </x:xf>
    <x:xf numFmtId="0" fontId="8" fillId="25" borderId="0" xfId="0" applyNumberFormat="1" applyFont="1" applyFill="1" applyBorder="1" applyAlignment="1">
      <x:alignment horizontal="center" vertical="center" wrapText="1"/>
    </x:xf>
    <x:xf numFmtId="0" fontId="8" fillId="26" borderId="0" xfId="0" applyNumberFormat="1" applyFont="1" applyFill="1" applyBorder="1" applyAlignment="1">
      <x:alignment horizontal="center" vertical="center" wrapText="1"/>
    </x:xf>
    <x:xf numFmtId="0" fontId="10" fillId="26" borderId="0" xfId="0" applyNumberFormat="1" applyFont="1" applyFill="1" applyBorder="1" applyAlignment="1">
      <x:alignment horizontal="center" vertical="center" wrapText="1"/>
    </x:xf>
    <x:xf numFmtId="0" fontId="10" fillId="25" borderId="0" xfId="0" applyNumberFormat="1" applyFont="1" applyFill="1" applyBorder="1" applyAlignment="1">
      <x:alignment horizontal="center" vertical="center" wrapText="1"/>
    </x:xf>
    <x:xf numFmtId="0" fontId="9" fillId="27" borderId="0" xfId="0" applyNumberFormat="1" applyFont="1" applyFill="1" applyBorder="1" applyAlignment="1">
      <x:alignment horizontal="center" vertical="center" wrapText="1"/>
    </x:xf>
    <x:xf numFmtId="0" fontId="10" fillId="27" borderId="0" xfId="0" applyNumberFormat="1" applyFont="1" applyFill="1" applyBorder="1" applyAlignment="1">
      <x:alignment horizontal="center" vertical="center" wrapText="1"/>
    </x:xf>
    <x:xf numFmtId="0" fontId="9" fillId="26" borderId="0" xfId="0" applyNumberFormat="1" applyFont="1" applyFill="1" applyBorder="1" applyAlignment="1">
      <x:alignment horizontal="center" vertical="center" wrapText="1"/>
    </x:xf>
    <x:xf numFmtId="0" fontId="0" fillId="28" borderId="0" xfId="0" applyNumberFormat="1" applyFont="1" applyFill="1" applyBorder="1"/>
    <x:xf numFmtId="0" fontId="7" fillId="28" borderId="0" xfId="0" applyNumberFormat="1" applyFont="1" applyFill="1" applyBorder="1"/>
    <x:xf numFmtId="0" fontId="7" fillId="28" borderId="0" xfId="0" applyNumberFormat="1" applyFont="1" applyFill="1" applyBorder="1" applyAlignment="1">
      <x:alignment horizontal="left"/>
    </x:xf>
    <x:xf numFmtId="0" fontId="7" fillId="28" borderId="0" xfId="0" applyNumberFormat="1" applyFont="1" applyFill="1" applyBorder="1" applyAlignment="1">
      <x:alignment horizontal="left" vertical="center"/>
    </x:xf>
    <x:xf numFmtId="0" fontId="15" fillId="0" borderId="0" xfId="0" applyNumberFormat="1" applyFont="1" applyFill="1" applyBorder="1"/>
    <x:xf numFmtId="0" fontId="15" fillId="0" borderId="0" xfId="0" applyNumberFormat="1" applyFont="1" applyFill="1" applyBorder="1" applyAlignment="1">
      <x:alignment wrapText="1"/>
    </x:xf>
    <x:xf numFmtId="0" fontId="15" fillId="0" borderId="0" xfId="0" applyNumberFormat="1" applyFont="1" applyFill="1" applyBorder="1" applyAlignment="1">
      <x:alignment horizontal="left" wrapText="1"/>
    </x:xf>
    <x:xf numFmtId="0" fontId="15" fillId="0" borderId="0" xfId="0" applyNumberFormat="1" applyFont="1" applyFill="1" applyBorder="1" applyAlignment="1">
      <x:alignment horizontal="left" vertical="center" wrapText="1"/>
    </x:xf>
    <x:xf numFmtId="0" fontId="7" fillId="28" borderId="0" xfId="0" applyNumberFormat="1" applyFont="1" applyFill="1" applyBorder="1" applyAlignment="1">
      <x:alignment horizontal="left" vertical="center" wrapText="1"/>
    </x:xf>
    <x:xf numFmtId="0" fontId="8" fillId="12" borderId="0" xfId="0" applyNumberFormat="1" applyFont="1" applyFill="1" applyBorder="1" applyAlignment="1">
      <x:alignment horizontal="center" vertical="center" wrapText="1"/>
    </x:xf>
    <x:xf numFmtId="0" fontId="10" fillId="13" borderId="0" xfId="0" applyNumberFormat="1" applyFont="1" applyFill="1" applyBorder="1" applyAlignment="1">
      <x:alignment horizontal="center" vertical="center" wrapText="1"/>
    </x:xf>
    <x:xf numFmtId="0" fontId="10" fillId="11" borderId="0" xfId="0" applyNumberFormat="1" applyFont="1" applyFill="1" applyBorder="1" applyAlignment="1">
      <x:alignment horizontal="center" vertical="center" wrapText="1"/>
    </x:xf>
    <x:xf numFmtId="0" fontId="9" fillId="12" borderId="0" xfId="0" applyNumberFormat="1" applyFont="1" applyFill="1" applyBorder="1" applyAlignment="1">
      <x:alignment horizontal="center" vertical="center" wrapText="1"/>
    </x:xf>
    <x:xf numFmtId="0" fontId="7" fillId="17" borderId="0" xfId="0" applyNumberFormat="1" applyFont="1" applyFill="1" applyBorder="1" applyAlignment="1">
      <x:alignment horizontal="left"/>
    </x:xf>
    <x:xf numFmtId="0" fontId="7" fillId="17" borderId="0" xfId="0" applyNumberFormat="1" applyFont="1" applyFill="1" applyBorder="1" applyAlignment="1">
      <x:alignment horizontal="left" vertical="center"/>
    </x:xf>
    <x:xf numFmtId="0" fontId="7" fillId="17" borderId="0" xfId="0" applyNumberFormat="1" applyFont="1" applyFill="1" applyBorder="1" applyAlignment="1">
      <x:alignment horizontal="left" vertical="center" wrapText="1"/>
    </x:xf>
    <x:xf numFmtId="0" fontId="0" fillId="29" borderId="0" xfId="0" applyNumberFormat="1" applyFont="1" applyFill="1" applyBorder="1"/>
    <x:xf numFmtId="0" fontId="6" fillId="29" borderId="0" xfId="0" applyNumberFormat="1" applyFont="1" applyFill="1" applyBorder="1"/>
    <x:xf numFmtId="0" fontId="6" fillId="29" borderId="0" xfId="0" applyNumberFormat="1" applyFont="1" applyFill="1" applyBorder="1" applyAlignment="1">
      <x:alignment wrapText="1"/>
    </x:xf>
    <x:xf numFmtId="0" fontId="6" fillId="29" borderId="0" xfId="0" applyNumberFormat="1" applyFont="1" applyFill="1" applyBorder="1" applyAlignment="1">
      <x:alignment horizontal="center" wrapText="1"/>
    </x:xf>
    <x:xf numFmtId="0" fontId="6" fillId="29" borderId="0" xfId="0" applyNumberFormat="1" applyFont="1" applyFill="1" applyBorder="1" applyAlignment="1">
      <x:alignment horizontal="center" vertical="center" wrapText="1"/>
    </x:xf>
    <x:xf numFmtId="0" fontId="0" fillId="30" borderId="0" xfId="0" applyNumberFormat="1" applyFont="1" applyFill="1" applyBorder="1" applyAlignment="1">
      <x:alignment vertical="center" wrapText="1"/>
    </x:xf>
    <x:xf numFmtId="0" fontId="8" fillId="30" borderId="0" xfId="0" applyNumberFormat="1" applyFont="1" applyFill="1" applyBorder="1" applyAlignment="1">
      <x:alignment vertical="center" wrapText="1"/>
    </x:xf>
    <x:xf numFmtId="0" fontId="8" fillId="30" borderId="0" xfId="0" applyNumberFormat="1" applyFont="1" applyFill="1" applyBorder="1" applyAlignment="1">
      <x:alignment horizontal="center" vertical="center" wrapText="1"/>
    </x:xf>
    <x:xf numFmtId="0" fontId="0" fillId="31" borderId="0" xfId="0" applyNumberFormat="1" applyFont="1" applyFill="1" applyBorder="1" applyAlignment="1">
      <x:alignment vertical="center" wrapText="1"/>
    </x:xf>
    <x:xf numFmtId="0" fontId="9" fillId="31" borderId="0" xfId="0" applyNumberFormat="1" applyFont="1" applyFill="1" applyBorder="1" applyAlignment="1">
      <x:alignment vertical="center" wrapText="1"/>
    </x:xf>
    <x:xf numFmtId="0" fontId="9" fillId="31" borderId="0" xfId="0" applyNumberFormat="1" applyFont="1" applyFill="1" applyBorder="1" applyAlignment="1">
      <x:alignment horizontal="center" vertical="center" wrapText="1"/>
    </x:xf>
    <x:xf numFmtId="0" fontId="0" fillId="32" borderId="0" xfId="0" applyNumberFormat="1" applyFont="1" applyFill="1" applyBorder="1" applyAlignment="1">
      <x:alignment vertical="center" wrapText="1"/>
    </x:xf>
    <x:xf numFmtId="0" fontId="10" fillId="32" borderId="0" xfId="0" applyNumberFormat="1" applyFont="1" applyFill="1" applyBorder="1" applyAlignment="1">
      <x:alignment vertical="center" wrapText="1"/>
    </x:xf>
    <x:xf numFmtId="0" fontId="10" fillId="32" borderId="0" xfId="0" applyNumberFormat="1" applyFont="1" applyFill="1" applyBorder="1" applyAlignment="1">
      <x:alignment horizontal="center" vertical="center" wrapText="1"/>
    </x:xf>
    <x:xf numFmtId="0" fontId="6" fillId="29" borderId="0" xfId="0" applyNumberFormat="1" applyFont="1" applyFill="1" applyBorder="1" applyAlignment="1">
      <x:alignment horizontal="left"/>
    </x:xf>
    <x:xf numFmtId="0" fontId="6" fillId="29" borderId="0" xfId="0" applyNumberFormat="1" applyFont="1" applyFill="1" applyBorder="1" applyAlignment="1">
      <x:alignment horizontal="left" vertical="center"/>
    </x:xf>
    <x:xf numFmtId="0" fontId="0" fillId="30" borderId="0" xfId="0" applyNumberFormat="1" applyFont="1" applyFill="1" applyBorder="1"/>
    <x:xf numFmtId="0" fontId="12" fillId="30" borderId="0" xfId="0" applyNumberFormat="1" applyFont="1" applyFill="1" applyBorder="1"/>
    <x:xf numFmtId="0" fontId="12" fillId="30" borderId="0" xfId="0" applyNumberFormat="1" applyFont="1" applyFill="1" applyBorder="1" applyAlignment="1">
      <x:alignment wrapText="1"/>
    </x:xf>
    <x:xf numFmtId="0" fontId="12" fillId="30" borderId="0" xfId="0" applyNumberFormat="1" applyFont="1" applyFill="1" applyBorder="1" applyAlignment="1">
      <x:alignment horizontal="center" wrapText="1"/>
    </x:xf>
    <x:xf numFmtId="0" fontId="12" fillId="30" borderId="0" xfId="0" applyNumberFormat="1" applyFont="1" applyFill="1" applyBorder="1" applyAlignment="1">
      <x:alignment horizontal="center" vertical="center" wrapText="1"/>
    </x:xf>
    <x:xf numFmtId="0" fontId="0" fillId="32" borderId="0" xfId="0" applyNumberFormat="1" applyFont="1" applyFill="1" applyBorder="1"/>
    <x:xf numFmtId="0" fontId="13" fillId="32" borderId="0" xfId="0" applyNumberFormat="1" applyFont="1" applyFill="1" applyBorder="1"/>
    <x:xf numFmtId="0" fontId="13" fillId="32" borderId="0" xfId="0" applyNumberFormat="1" applyFont="1" applyFill="1" applyBorder="1" applyAlignment="1">
      <x:alignment wrapText="1"/>
    </x:xf>
    <x:xf numFmtId="0" fontId="13" fillId="32" borderId="0" xfId="0" applyNumberFormat="1" applyFont="1" applyFill="1" applyBorder="1" applyAlignment="1">
      <x:alignment horizontal="center" wrapText="1"/>
    </x:xf>
    <x:xf numFmtId="0" fontId="13" fillId="32" borderId="0" xfId="0" applyNumberFormat="1" applyFont="1" applyFill="1" applyBorder="1" applyAlignment="1">
      <x:alignment horizontal="center" vertical="center" wrapText="1"/>
    </x:xf>
    <x:xf numFmtId="0" fontId="0" fillId="31" borderId="0" xfId="0" applyNumberFormat="1" applyFont="1" applyFill="1" applyBorder="1"/>
    <x:xf numFmtId="0" fontId="14" fillId="31" borderId="0" xfId="0" applyNumberFormat="1" applyFont="1" applyFill="1" applyBorder="1"/>
    <x:xf numFmtId="0" fontId="14" fillId="31" borderId="0" xfId="0" applyNumberFormat="1" applyFont="1" applyFill="1" applyBorder="1" applyAlignment="1">
      <x:alignment wrapText="1"/>
    </x:xf>
    <x:xf numFmtId="0" fontId="14" fillId="31" borderId="0" xfId="0" applyNumberFormat="1" applyFont="1" applyFill="1" applyBorder="1" applyAlignment="1">
      <x:alignment horizontal="center" wrapText="1"/>
    </x:xf>
    <x:xf numFmtId="0" fontId="14" fillId="31" borderId="0" xfId="0" applyNumberFormat="1" applyFont="1" applyFill="1" applyBorder="1" applyAlignment="1">
      <x:alignment horizontal="center" vertical="center" wrapText="1"/>
    </x:xf>
    <x:xf numFmtId="0" fontId="0" fillId="33" borderId="0" xfId="0" applyNumberFormat="1" applyFont="1" applyFill="1" applyBorder="1"/>
    <x:xf numFmtId="0" fontId="6" fillId="33" borderId="0" xfId="0" applyNumberFormat="1" applyFont="1" applyFill="1" applyBorder="1"/>
    <x:xf numFmtId="0" fontId="6" fillId="33" borderId="0" xfId="0" applyNumberFormat="1" applyFont="1" applyFill="1" applyBorder="1" applyAlignment="1">
      <x:alignment horizontal="left"/>
    </x:xf>
    <x:xf numFmtId="0" fontId="6" fillId="33" borderId="0" xfId="0" applyNumberFormat="1" applyFont="1" applyFill="1" applyBorder="1" applyAlignment="1">
      <x:alignment horizontal="left" vertical="center"/>
    </x:xf>
    <x:xf numFmtId="0" fontId="0" fillId="34" borderId="0" xfId="0" applyNumberFormat="1" applyFont="1" applyFill="1" applyBorder="1"/>
    <x:xf numFmtId="0" fontId="7" fillId="34" borderId="0" xfId="0" applyNumberFormat="1" applyFont="1" applyFill="1" applyBorder="1"/>
    <x:xf numFmtId="0" fontId="7" fillId="34" borderId="0" xfId="0" applyNumberFormat="1" applyFont="1" applyFill="1" applyBorder="1" applyAlignment="1">
      <x:alignment horizontal="left"/>
    </x:xf>
    <x:xf numFmtId="0" fontId="7" fillId="34" borderId="0" xfId="0" applyNumberFormat="1" applyFont="1" applyFill="1" applyBorder="1" applyAlignment="1">
      <x:alignment horizontal="left" vertical="center"/>
    </x:xf>
    <x:xf numFmtId="0" fontId="8" fillId="35" borderId="0" xfId="0" applyNumberFormat="1" applyFont="1" applyFill="1" applyBorder="1" applyAlignment="1">
      <x:alignment horizontal="center" vertical="center" wrapText="1"/>
    </x:xf>
    <x:xf numFmtId="0" fontId="9" fillId="36" borderId="0" xfId="0" applyNumberFormat="1" applyFont="1" applyFill="1" applyBorder="1" applyAlignment="1">
      <x:alignment horizontal="center" vertical="center" wrapText="1"/>
    </x:xf>
    <x:xf numFmtId="0" fontId="10" fillId="37" borderId="0" xfId="0" applyNumberFormat="1" applyFont="1" applyFill="1" applyBorder="1" applyAlignment="1">
      <x:alignment horizontal="center" vertical="center" wrapText="1"/>
    </x:xf>
    <x:xf numFmtId="0" fontId="9" fillId="35" borderId="0" xfId="0" applyNumberFormat="1" applyFont="1" applyFill="1" applyBorder="1" applyAlignment="1">
      <x:alignment horizontal="center" vertical="center" wrapText="1"/>
    </x:xf>
    <x:xf numFmtId="0" fontId="10" fillId="35" borderId="0" xfId="0" applyNumberFormat="1" applyFont="1" applyFill="1" applyBorder="1" applyAlignment="1">
      <x:alignment horizontal="center" vertical="center" wrapText="1"/>
    </x:xf>
    <x:xf numFmtId="0" fontId="8" fillId="36" borderId="0" xfId="0" applyNumberFormat="1" applyFont="1" applyFill="1" applyBorder="1" applyAlignment="1">
      <x:alignment horizontal="center" vertical="center" wrapText="1"/>
    </x:xf>
    <x:xf numFmtId="0" fontId="8" fillId="37" borderId="0" xfId="0" applyNumberFormat="1" applyFont="1" applyFill="1" applyBorder="1" applyAlignment="1">
      <x:alignment horizontal="center" vertical="center" wrapText="1"/>
    </x:xf>
    <x:xf numFmtId="0" fontId="9" fillId="37" borderId="0" xfId="0" applyNumberFormat="1" applyFont="1" applyFill="1" applyBorder="1" applyAlignment="1">
      <x:alignment horizontal="center" vertical="center" wrapText="1"/>
    </x:xf>
    <x:xf numFmtId="0" fontId="10" fillId="36" borderId="0" xfId="0" applyNumberFormat="1" applyFont="1" applyFill="1" applyBorder="1" applyAlignment="1">
      <x:alignment horizontal="center" vertical="center" wrapText="1"/>
    </x:xf>
  </x:cellXfs>
  <x:cellStyles count="1">
    <x:cellStyle name="Normal" xfId="0"/>
  </x:cellStyles>
  <x:dxfs count="17">
    <x:dxf>
      <x:font>
        <x:b/>
        <x:color rgb="FF9C0006"/>
      </x:font>
      <x:fill>
        <x:patternFill>
          <x:bgColor rgb="FFFCE4D6"/>
        </x:patternFill>
      </x:fill>
    </x:dxf>
    <x:dxf>
      <x:font>
        <x:b/>
        <x:color rgb="FF7F6000"/>
      </x:font>
      <x:fill>
        <x:patternFill>
          <x:bgColor rgb="FFFFF2CC"/>
        </x:patternFill>
      </x:fill>
    </x:dxf>
    <x:dxf>
      <x:font>
        <x:b/>
        <x:color rgb="FF006100"/>
      </x:font>
      <x:fill>
        <x:patternFill>
          <x:bgColor rgb="FFE2F0D9"/>
        </x:patternFill>
      </x:fill>
    </x:dxf>
    <x:dxf>
      <x:font>
        <x:color rgb="FF666666"/>
      </x:font>
      <x:fill>
        <x:patternFill>
          <x:bgColor rgb="FFE7E6E6"/>
        </x:patternFill>
      </x:fill>
    </x:dxf>
    <x:dxf>
      <x:font>
        <x:b/>
        <x:color rgb="FF9C0006"/>
      </x:font>
      <x:fill>
        <x:patternFill>
          <x:bgColor rgb="FFF4CCCC"/>
        </x:patternFill>
      </x:fill>
    </x:dxf>
    <x:dxf>
      <x:font>
        <x:b/>
        <x:color rgb="FF7F6000"/>
      </x:font>
      <x:fill>
        <x:patternFill>
          <x:bgColor rgb="FFFFE699"/>
        </x:patternFill>
      </x:fill>
    </x:dxf>
    <x:dxf>
      <x:font>
        <x:b/>
        <x:color rgb="FF006100"/>
      </x:font>
      <x:fill>
        <x:patternFill>
          <x:bgColor rgb="FFC6E0B4"/>
        </x:patternFill>
      </x:fill>
    </x:dxf>
    <x:dxf>
      <x:font>
        <x:b/>
        <x:color rgb="FF9C0006"/>
      </x:font>
      <x:fill>
        <x:patternFill>
          <x:bgColor rgb="FFF4CCCC"/>
        </x:patternFill>
      </x:fill>
    </x:dxf>
    <x:dxf>
      <x:font>
        <x:b/>
        <x:color rgb="FF006100"/>
      </x:font>
      <x:fill>
        <x:patternFill>
          <x:bgColor rgb="FFC6E0B4"/>
        </x:patternFill>
      </x:fill>
    </x:dxf>
    <x:dxf>
      <x:font>
        <x:color rgb="FF666666"/>
      </x:font>
      <x:fill>
        <x:patternFill>
          <x:bgColor rgb="FFE7E6E6"/>
        </x:patternFill>
      </x:fill>
    </x:dxf>
    <x:dxf>
      <x:font>
        <x:b/>
        <x:color rgb="FF9C0006"/>
      </x:font>
      <x:fill>
        <x:patternFill>
          <x:bgColor rgb="FFF4CCCC"/>
        </x:patternFill>
      </x:fill>
    </x:dxf>
    <x:dxf>
      <x:font>
        <x:b/>
        <x:color rgb="FF7F6000"/>
      </x:font>
      <x:fill>
        <x:patternFill>
          <x:bgColor rgb="FFFFE699"/>
        </x:patternFill>
      </x:fill>
    </x:dxf>
    <x:dxf>
      <x:font>
        <x:b/>
        <x:color rgb="FF006100"/>
      </x:font>
      <x:fill>
        <x:patternFill>
          <x:bgColor rgb="FFC6E0B4"/>
        </x:patternFill>
      </x:fill>
    </x:dxf>
    <x:dxf>
      <x:font>
        <x:color rgb="FF666666"/>
      </x:font>
      <x:fill>
        <x:patternFill>
          <x:bgColor rgb="FFE7E6E6"/>
        </x:patternFill>
      </x:fill>
    </x:dxf>
    <x:dxf>
      <x:font>
        <x:b/>
        <x:color rgb="FF9C0006"/>
      </x:font>
      <x:fill>
        <x:patternFill>
          <x:bgColor rgb="FFF4CCCC"/>
        </x:patternFill>
      </x:fill>
    </x:dxf>
    <x:dxf>
      <x:font>
        <x:b/>
        <x:color rgb="FF7F6000"/>
      </x:font>
      <x:fill>
        <x:patternFill>
          <x:bgColor rgb="FFFFE699"/>
        </x:patternFill>
      </x:fill>
    </x:dxf>
    <x:dxf>
      <x:font>
        <x:b/>
        <x:color rgb="FF006100"/>
      </x:font>
      <x:fill>
        <x:patternFill>
          <x:bgColor rgb="FFC6E0B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a7bbc2cefb4b77" /><Relationship Type="http://schemas.openxmlformats.org/officeDocument/2006/relationships/theme" Target="/xl/theme/theme1.xml" Id="R24e8686fe5d04363" /><Relationship Type="http://schemas.openxmlformats.org/officeDocument/2006/relationships/sharedStrings" Target="/xl/sharedStrings.xml" Id="R6feba0dbb7314647" /><Relationship Type="http://schemas.openxmlformats.org/officeDocument/2006/relationships/worksheet" Target="/xl/worksheets/sheet1.xml" Id="Re8b38b39d3da4fb9" /><Relationship Type="http://schemas.openxmlformats.org/officeDocument/2006/relationships/worksheet" Target="/xl/worksheets/sheet2.xml" Id="Re6b336a3ebf94bd4" /><Relationship Type="http://schemas.openxmlformats.org/officeDocument/2006/relationships/worksheet" Target="/xl/worksheets/sheet3.xml" Id="Re33e77f67a43414a" /><Relationship Type="http://schemas.openxmlformats.org/officeDocument/2006/relationships/worksheet" Target="/xl/worksheets/sheet4.xml" Id="R48e8b4df16034a3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 customWidth="1"/>
    <x:col min="2" max="2" width="17" customWidth="1"/>
    <x:col min="3" max="3" width="20" customWidth="1"/>
    <x:col min="4" max="4" width="15" customWidth="1"/>
    <x:col min="5" max="5" width="17" customWidth="1"/>
    <x:col min="6" max="6" width="12" customWidth="1"/>
    <x:col min="7" max="7" width="10" customWidth="1"/>
    <x:col min="8" max="9" width="9" customWidth="1"/>
    <x:col min="10" max="10" width="12" customWidth="1"/>
    <x:col min="11" max="11" width="15" customWidth="1"/>
    <x:col min="12" max="12" width="22" customWidth="1"/>
    <x:col min="13" max="13" width="42" customWidth="1"/>
    <x:col min="14" max="14" width="38" customWidth="1"/>
    <x:col min="15" max="15" width="20" customWidth="1"/>
    <x:col min="16" max="16" width="21" customWidth="1"/>
    <x:col min="17" max="17" width="38" customWidth="1"/>
    <x:col min="18" max="18" width="52" customWidth="1"/>
    <x:col min="19" max="19" width="25" customWidth="1"/>
    <x:col min="20" max="20" width="38" customWidth="1"/>
    <x:col min="21" max="21" width="17" customWidth="1"/>
    <x:col min="22" max="22" width="38" customWidth="1"/>
    <x:col min="23" max="23" width="22" customWidth="1"/>
    <x:col min="24" max="24" width="19" customWidth="1"/>
    <x:col min="25" max="25" width="38" customWidth="1"/>
    <x:col min="26" max="26" width="14" customWidth="1"/>
    <x:col min="27" max="27" width="52" customWidth="1"/>
    <x:col min="28" max="28" width="16" customWidth="1"/>
    <x:col min="29" max="29" width="20" hidden="0" customWidth="1"/>
    <x:col min="30" max="30" width="18" hidden="0" customWidth="1"/>
    <x:col min="31" max="31" width="48" hidden="0" customWidth="1"/>
  </x:cols>
  <x:sheetData>
    <x:row r="1" ht="30" customHeight="1">
      <x:c r="A1" s="26" t="s">
        <x:v>0</x:v>
      </x:c>
      <x:c r="B1" s="26"/>
      <x:c r="C1" s="26"/>
      <x:c r="D1" s="26"/>
      <x:c r="E1" s="26"/>
      <x:c r="F1" s="26"/>
      <x:c r="G1" s="26"/>
      <x:c r="H1" s="26"/>
      <x:c r="I1" s="26"/>
      <x:c r="J1" s="26"/>
      <x:c r="K1" s="26"/>
      <x:c r="L1" s="27" t="s">
        <x:v>1</x:v>
      </x:c>
      <x:c r="M1" s="27"/>
      <x:c r="N1" s="27"/>
      <x:c r="O1" s="28" t="s">
        <x:v>2</x:v>
      </x:c>
      <x:c r="P1" s="28"/>
      <x:c r="Q1" s="28"/>
      <x:c r="R1" s="29" t="s">
        <x:v>3</x:v>
      </x:c>
      <x:c r="S1" s="29"/>
      <x:c r="T1" s="29"/>
      <x:c r="U1" s="30" t="s">
        <x:v>4</x:v>
      </x:c>
      <x:c r="V1" s="30"/>
      <x:c r="W1" s="30"/>
      <x:c r="X1" s="23" t="s">
        <x:v>5</x:v>
      </x:c>
      <x:c r="Y1" s="23"/>
      <x:c r="Z1" s="24" t="s">
        <x:v>6</x:v>
      </x:c>
      <x:c r="AA1" s="24"/>
      <x:c r="AB1" s="61" t="str">
        <x:v>POSE REVIEW / NOTES</x:v>
      </x:c>
      <x:c r="AC1" s="61"/>
      <x:c r="AD1" s="66"/>
      <x:c r="AE1" s="66"/>
    </x:row>
    <x:row r="2" ht="48" customHeight="1">
      <x:c r="A2" s="2" t="s">
        <x:v>7</x:v>
      </x:c>
      <x:c r="B2" s="2" t="s">
        <x:v>8</x:v>
      </x:c>
      <x:c r="C2" s="2" t="s">
        <x:v>9</x:v>
      </x:c>
      <x:c r="D2" s="2" t="s">
        <x:v>10</x:v>
      </x:c>
      <x:c r="E2" s="2" t="s">
        <x:v>11</x:v>
      </x:c>
      <x:c r="F2" s="2" t="s">
        <x:v>12</x:v>
      </x:c>
      <x:c r="G2" s="2" t="s">
        <x:v>13</x:v>
      </x:c>
      <x:c r="H2" s="2" t="s">
        <x:v>14</x:v>
      </x:c>
      <x:c r="I2" s="2" t="s">
        <x:v>15</x:v>
      </x:c>
      <x:c r="J2" s="2" t="s">
        <x:v>16</x:v>
      </x:c>
      <x:c r="K2" s="2" t="s">
        <x:v>17</x:v>
      </x:c>
      <x:c r="L2" s="3" t="s">
        <x:v>18</x:v>
      </x:c>
      <x:c r="M2" s="3" t="s">
        <x:v>19</x:v>
      </x:c>
      <x:c r="N2" s="3" t="s">
        <x:v>20</x:v>
      </x:c>
      <x:c r="O2" s="4" t="s">
        <x:v>21</x:v>
      </x:c>
      <x:c r="P2" s="4" t="s">
        <x:v>22</x:v>
      </x:c>
      <x:c r="Q2" s="4" t="s">
        <x:v>20</x:v>
      </x:c>
      <x:c r="R2" s="5" t="s">
        <x:v>23</x:v>
      </x:c>
      <x:c r="S2" s="5" t="s">
        <x:v>24</x:v>
      </x:c>
      <x:c r="T2" s="5" t="s">
        <x:v>20</x:v>
      </x:c>
      <x:c r="U2" s="6" t="s">
        <x:v>25</x:v>
      </x:c>
      <x:c r="V2" s="6" t="s">
        <x:v>26</x:v>
      </x:c>
      <x:c r="W2" s="6" t="s">
        <x:v>27</x:v>
      </x:c>
      <x:c r="X2" s="7" t="s">
        <x:v>28</x:v>
      </x:c>
      <x:c r="Y2" s="7" t="s">
        <x:v>29</x:v>
      </x:c>
      <x:c r="Z2" s="8" t="s">
        <x:v>30</x:v>
      </x:c>
      <x:c r="AA2" s="8" t="s">
        <x:v>31</x:v>
      </x:c>
      <x:c r="AB2" s="73" t="str">
        <x:v>Pose review</x:v>
      </x:c>
      <x:c r="AC2" s="73" t="str">
        <x:v>NAM-pocket contacts (≤4 Å)</x:v>
      </x:c>
      <x:c r="AD2" s="78" t="str">
        <x:v>Minimum distance (Å)</x:v>
      </x:c>
      <x:c r="AE2" s="78" t="str">
        <x:v>Reviewer notes</x:v>
      </x:c>
    </x:row>
    <x:row r="3" ht="78" customHeight="1">
      <x:c r="A3" s="15">
        <x:v>1</x:v>
      </x:c>
      <x:c r="B3" s="10" t="s">
        <x:v>32</x:v>
      </x:c>
      <x:c r="C3" s="10" t="s">
        <x:v>33</x:v>
      </x:c>
      <x:c r="D3" s="13">
        <x:v>-10.178000000000001</x:v>
      </x:c>
      <x:c r="E3" s="13">
        <x:v>0.956900405883789</x:v>
      </x:c>
      <x:c r="F3" s="15">
        <x:v>0</x:v>
      </x:c>
      <x:c r="G3" s="14">
        <x:v>279.33999999999997</x:v>
      </x:c>
      <x:c r="H3" s="14">
        <x:v>2.89</x:v>
      </x:c>
      <x:c r="I3" s="14">
        <x:v>50.68</x:v>
      </x:c>
      <x:c r="J3" s="15">
        <x:v>2</x:v>
      </x:c>
      <x:c r="K3" s="15">
        <x:v>2015</x:v>
      </x:c>
      <x:c r="L3" s="11" t="s">
        <x:v>34</x:v>
      </x:c>
      <x:c r="M3" s="10"/>
      <x:c r="N3" s="12"/>
      <x:c r="O3" s="11" t="s">
        <x:v>35</x:v>
      </x:c>
      <x:c r="P3" s="10" t="s">
        <x:v>36</x:v>
      </x:c>
      <x:c r="Q3" s="12" t="s">
        <x:v>37</x:v>
      </x:c>
      <x:c r="R3" s="10" t="s">
        <x:v>38</x:v>
      </x:c>
      <x:c r="S3" s="11" t="s">
        <x:v>39</x:v>
      </x:c>
      <x:c r="T3" s="12" t="s">
        <x:v>40</x:v>
      </x:c>
      <x:c r="U3" s="11" t="s">
        <x:v>41</x:v>
      </x:c>
      <x:c r="V3" s="12" t="s">
        <x:v>42</x:v>
      </x:c>
      <x:c r="W3" s="11" t="s">
        <x:v>43</x:v>
      </x:c>
      <x:c r="X3" s="11" t="s">
        <x:v>44</x:v>
      </x:c>
      <x:c r="Y3" s="12"/>
      <x:c r="Z3" s="11" t="s">
        <x:v>45</x:v>
      </x:c>
      <x:c r="AA3" s="10"/>
      <x:c r="AB3" s="11" t="s">
        <x:v>46</x:v>
      </x:c>
      <x:c r="AC3" s="88" t="str">
        <x:v>8/8</x:v>
      </x:c>
      <x:c r="AD3" s="94" t="n">
        <x:v>2.81</x:v>
      </x:c>
      <x:c r="AE3" t="s">
        <x:v>47</x:v>
      </x:c>
    </x:row>
    <x:row r="4" ht="44.099998474121094" customHeight="1">
      <x:c r="A4" s="15">
        <x:v>2</x:v>
      </x:c>
      <x:c r="B4" s="10" t="s">
        <x:v>48</x:v>
      </x:c>
      <x:c r="C4" s="10" t="s">
        <x:v>49</x:v>
      </x:c>
      <x:c r="D4" s="13">
        <x:v>-10.073</x:v>
      </x:c>
      <x:c r="E4" s="13">
        <x:v>0.99008786678314198</x:v>
      </x:c>
      <x:c r="F4" s="15">
        <x:v>1</x:v>
      </x:c>
      <x:c r="G4" s="14">
        <x:v>228.34</x:v>
      </x:c>
      <x:c r="H4" s="14">
        <x:v>3.1</x:v>
      </x:c>
      <x:c r="I4" s="14">
        <x:v>27.82</x:v>
      </x:c>
      <x:c r="J4" s="15">
        <x:v>3</x:v>
      </x:c>
      <x:c r="K4" s="15"/>
      <x:c r="L4" s="11" t="s">
        <x:v>50</x:v>
      </x:c>
      <x:c r="M4" s="10" t="s">
        <x:v>51</x:v>
      </x:c>
      <x:c r="N4" s="12" t="s">
        <x:v>52</x:v>
      </x:c>
      <x:c r="O4" s="11" t="s">
        <x:v>53</x:v>
      </x:c>
      <x:c r="P4" s="10" t="s">
        <x:v>53</x:v>
      </x:c>
      <x:c r="Q4" s="12"/>
      <x:c r="R4" s="10" t="s">
        <x:v>53</x:v>
      </x:c>
      <x:c r="S4" s="11" t="s">
        <x:v>53</x:v>
      </x:c>
      <x:c r="T4" s="12"/>
      <x:c r="U4" s="11" t="s">
        <x:v>53</x:v>
      </x:c>
      <x:c r="V4" s="12"/>
      <x:c r="W4" s="11" t="s">
        <x:v>53</x:v>
      </x:c>
      <x:c r="X4" s="11" t="s">
        <x:v>53</x:v>
      </x:c>
      <x:c r="Y4" s="12"/>
      <x:c r="Z4" s="11" t="s">
        <x:v>54</x:v>
      </x:c>
      <x:c r="AA4" s="10" t="s">
        <x:v>55</x:v>
      </x:c>
      <x:c r="AB4" s="11" t="s">
        <x:v>53</x:v>
      </x:c>
      <x:c r="AC4" s="88"/>
      <x:c r="AD4" s="92"/>
      <x:c r="AE4"/>
    </x:row>
    <x:row r="5" ht="78" customHeight="1">
      <x:c r="A5" s="15">
        <x:v>3</x:v>
      </x:c>
      <x:c r="B5" s="10" t="s">
        <x:v>56</x:v>
      </x:c>
      <x:c r="C5" s="10" t="s">
        <x:v>57</x:v>
      </x:c>
      <x:c r="D5" s="13">
        <x:v>-9.9730000000000008</x:v>
      </x:c>
      <x:c r="E5" s="13">
        <x:v>0.74372198581695603</x:v>
      </x:c>
      <x:c r="F5" s="15">
        <x:v>1</x:v>
      </x:c>
      <x:c r="G5" s="14">
        <x:v>371.03</x:v>
      </x:c>
      <x:c r="H5" s="14">
        <x:v>4.17</x:v>
      </x:c>
      <x:c r="I5" s="14">
        <x:v>49.33</x:v>
      </x:c>
      <x:c r="J5" s="15">
        <x:v>2</x:v>
      </x:c>
      <x:c r="K5" s="15"/>
      <x:c r="L5" s="11" t="s">
        <x:v>50</x:v>
      </x:c>
      <x:c r="M5" s="10" t="s">
        <x:v>58</x:v>
      </x:c>
      <x:c r="N5" s="12" t="s">
        <x:v>59</x:v>
      </x:c>
      <x:c r="O5" s="11" t="s">
        <x:v>53</x:v>
      </x:c>
      <x:c r="P5" s="10" t="s">
        <x:v>53</x:v>
      </x:c>
      <x:c r="Q5" s="12"/>
      <x:c r="R5" s="10" t="s">
        <x:v>53</x:v>
      </x:c>
      <x:c r="S5" s="11" t="s">
        <x:v>53</x:v>
      </x:c>
      <x:c r="T5" s="12"/>
      <x:c r="U5" s="11" t="s">
        <x:v>53</x:v>
      </x:c>
      <x:c r="V5" s="12"/>
      <x:c r="W5" s="11" t="s">
        <x:v>53</x:v>
      </x:c>
      <x:c r="X5" s="11" t="s">
        <x:v>53</x:v>
      </x:c>
      <x:c r="Y5" s="12"/>
      <x:c r="Z5" s="11" t="s">
        <x:v>54</x:v>
      </x:c>
      <x:c r="AA5" s="10" t="s">
        <x:v>60</x:v>
      </x:c>
      <x:c r="AB5" s="11" t="s">
        <x:v>53</x:v>
      </x:c>
      <x:c r="AC5" s="88"/>
      <x:c r="AD5" s="92"/>
      <x:c r="AE5"/>
    </x:row>
    <x:row r="6" ht="78" customHeight="1">
      <x:c r="A6" s="15">
        <x:v>4</x:v>
      </x:c>
      <x:c r="B6" s="10" t="s">
        <x:v>61</x:v>
      </x:c>
      <x:c r="C6" s="10" t="s">
        <x:v>62</x:v>
      </x:c>
      <x:c r="D6" s="13">
        <x:v>-9.8140000000000001</x:v>
      </x:c>
      <x:c r="E6" s="13">
        <x:v>0.98800371885299698</x:v>
      </x:c>
      <x:c r="F6" s="15">
        <x:v>0</x:v>
      </x:c>
      <x:c r="G6" s="14">
        <x:v>329.37</x:v>
      </x:c>
      <x:c r="H6" s="14">
        <x:v>3.33</x:v>
      </x:c>
      <x:c r="I6" s="14">
        <x:v>39.72</x:v>
      </x:c>
      <x:c r="J6" s="15">
        <x:v>4</x:v>
      </x:c>
      <x:c r="K6" s="15">
        <x:v>1992</x:v>
      </x:c>
      <x:c r="L6" s="11" t="s">
        <x:v>34</x:v>
      </x:c>
      <x:c r="M6" s="10"/>
      <x:c r="N6" s="12"/>
      <x:c r="O6" s="11" t="s">
        <x:v>35</x:v>
      </x:c>
      <x:c r="P6" s="10" t="s">
        <x:v>63</x:v>
      </x:c>
      <x:c r="Q6" s="12" t="s">
        <x:v>64</x:v>
      </x:c>
      <x:c r="R6" s="10" t="s">
        <x:v>65</x:v>
      </x:c>
      <x:c r="S6" s="11" t="s">
        <x:v>66</x:v>
      </x:c>
      <x:c r="T6" s="12" t="s">
        <x:v>67</x:v>
      </x:c>
      <x:c r="U6" s="11" t="s">
        <x:v>53</x:v>
      </x:c>
      <x:c r="V6" s="12"/>
      <x:c r="W6" s="11" t="s">
        <x:v>53</x:v>
      </x:c>
      <x:c r="X6" s="11" t="s">
        <x:v>53</x:v>
      </x:c>
      <x:c r="Y6" s="12"/>
      <x:c r="Z6" s="11" t="s">
        <x:v>54</x:v>
      </x:c>
      <x:c r="AA6" s="10" t="s">
        <x:v>68</x:v>
      </x:c>
      <x:c r="AB6" s="11" t="s">
        <x:v>53</x:v>
      </x:c>
      <x:c r="AC6" s="88"/>
      <x:c r="AD6" s="92"/>
      <x:c r="AE6"/>
    </x:row>
    <x:row r="7" ht="78" customHeight="1">
      <x:c r="A7" s="15">
        <x:v>5</x:v>
      </x:c>
      <x:c r="B7" s="10" t="s">
        <x:v>69</x:v>
      </x:c>
      <x:c r="C7" s="10" t="s">
        <x:v>70</x:v>
      </x:c>
      <x:c r="D7" s="13">
        <x:v>-9.5359999999999996</x:v>
      </x:c>
      <x:c r="E7" s="13">
        <x:v>0.78609309196472199</x:v>
      </x:c>
      <x:c r="F7" s="15">
        <x:v>0</x:v>
      </x:c>
      <x:c r="G7" s="14">
        <x:v>270.20999999999998</x:v>
      </x:c>
      <x:c r="H7" s="14">
        <x:v>3</x:v>
      </x:c>
      <x:c r="I7" s="14">
        <x:v>73.12</x:v>
      </x:c>
      <x:c r="J7" s="15">
        <x:v>2</x:v>
      </x:c>
      <x:c r="K7" s="15">
        <x:v>2012</x:v>
      </x:c>
      <x:c r="L7" s="11" t="s">
        <x:v>34</x:v>
      </x:c>
      <x:c r="M7" s="10"/>
      <x:c r="N7" s="12"/>
      <x:c r="O7" s="11" t="s">
        <x:v>35</x:v>
      </x:c>
      <x:c r="P7" s="10" t="s">
        <x:v>63</x:v>
      </x:c>
      <x:c r="Q7" s="12" t="s">
        <x:v>71</x:v>
      </x:c>
      <x:c r="R7" s="10" t="s">
        <x:v>72</x:v>
      </x:c>
      <x:c r="S7" s="11" t="s">
        <x:v>39</x:v>
      </x:c>
      <x:c r="T7" s="12" t="s">
        <x:v>71</x:v>
      </x:c>
      <x:c r="U7" s="11" t="s">
        <x:v>73</x:v>
      </x:c>
      <x:c r="V7" s="12" t="s">
        <x:v>74</x:v>
      </x:c>
      <x:c r="W7" s="11" t="s">
        <x:v>75</x:v>
      </x:c>
      <x:c r="X7" s="11" t="s">
        <x:v>44</x:v>
      </x:c>
      <x:c r="Y7" s="12"/>
      <x:c r="Z7" s="11" t="s">
        <x:v>45</x:v>
      </x:c>
      <x:c r="AA7" s="10"/>
      <x:c r="AB7" s="11" t="s">
        <x:v>46</x:v>
      </x:c>
      <x:c r="AC7" s="88" t="str">
        <x:v>8/8</x:v>
      </x:c>
      <x:c r="AD7" s="94" t="n">
        <x:v>2.7</x:v>
      </x:c>
      <x:c r="AE7" t="str">
        <x:v>Teriflunomide is measurable in human CSF, confirming CNS entry; however, the magnitude and relevance of that exposure for effective mGluR5 modulation remain uncertain. The chronic safety burden is also substantial.</x:v>
      </x:c>
    </x:row>
    <x:row r="8" ht="60.95000076293945" customHeight="1">
      <x:c r="A8" s="15">
        <x:v>6</x:v>
      </x:c>
      <x:c r="B8" s="10" t="s">
        <x:v>76</x:v>
      </x:c>
      <x:c r="C8" s="10" t="s">
        <x:v>77</x:v>
      </x:c>
      <x:c r="D8" s="13">
        <x:v>-9.3970000000000002</x:v>
      </x:c>
      <x:c r="E8" s="13">
        <x:v>0.97676599025726296</x:v>
      </x:c>
      <x:c r="F8" s="15">
        <x:v>0</x:v>
      </x:c>
      <x:c r="G8" s="14">
        <x:v>270.20999999999998</x:v>
      </x:c>
      <x:c r="H8" s="14">
        <x:v>3.25</x:v>
      </x:c>
      <x:c r="I8" s="14">
        <x:v>55.13</x:v>
      </x:c>
      <x:c r="J8" s="15">
        <x:v>2</x:v>
      </x:c>
      <x:c r="K8" s="15">
        <x:v>1998</x:v>
      </x:c>
      <x:c r="L8" s="11" t="s">
        <x:v>34</x:v>
      </x:c>
      <x:c r="M8" s="10"/>
      <x:c r="N8" s="12"/>
      <x:c r="O8" s="11" t="s">
        <x:v>78</x:v>
      </x:c>
      <x:c r="P8" s="10" t="s">
        <x:v>63</x:v>
      </x:c>
      <x:c r="Q8" s="12" t="s">
        <x:v>79</x:v>
      </x:c>
      <x:c r="R8" s="10" t="s">
        <x:v>53</x:v>
      </x:c>
      <x:c r="S8" s="11" t="s">
        <x:v>53</x:v>
      </x:c>
      <x:c r="T8" s="12"/>
      <x:c r="U8" s="11" t="s">
        <x:v>53</x:v>
      </x:c>
      <x:c r="V8" s="12"/>
      <x:c r="W8" s="11" t="s">
        <x:v>53</x:v>
      </x:c>
      <x:c r="X8" s="11" t="s">
        <x:v>53</x:v>
      </x:c>
      <x:c r="Y8" s="12"/>
      <x:c r="Z8" s="11" t="s">
        <x:v>54</x:v>
      </x:c>
      <x:c r="AA8" s="10" t="s">
        <x:v>80</x:v>
      </x:c>
      <x:c r="AB8" s="11" t="s">
        <x:v>53</x:v>
      </x:c>
      <x:c r="AC8" s="88"/>
      <x:c r="AD8" s="92"/>
      <x:c r="AE8"/>
    </x:row>
    <x:row r="9" ht="60.95000076293945" customHeight="1">
      <x:c r="A9" s="15">
        <x:v>7</x:v>
      </x:c>
      <x:c r="B9" s="10" t="s">
        <x:v>81</x:v>
      </x:c>
      <x:c r="C9" s="10" t="s">
        <x:v>82</x:v>
      </x:c>
      <x:c r="D9" s="13">
        <x:v>-9.3109999999999999</x:v>
      </x:c>
      <x:c r="E9" s="13">
        <x:v>0.98058500289917006</x:v>
      </x:c>
      <x:c r="F9" s="15">
        <x:v>0</x:v>
      </x:c>
      <x:c r="G9" s="14">
        <x:v>221.26</x:v>
      </x:c>
      <x:c r="H9" s="14">
        <x:v>1.79</x:v>
      </x:c>
      <x:c r="I9" s="14">
        <x:v>47.56</x:v>
      </x:c>
      <x:c r="J9" s="15">
        <x:v>3</x:v>
      </x:c>
      <x:c r="K9" s="15">
        <x:v>1962</x:v>
      </x:c>
      <x:c r="L9" s="11" t="s">
        <x:v>34</x:v>
      </x:c>
      <x:c r="M9" s="10"/>
      <x:c r="N9" s="12"/>
      <x:c r="O9" s="11" t="s">
        <x:v>35</x:v>
      </x:c>
      <x:c r="P9" s="10" t="s">
        <x:v>63</x:v>
      </x:c>
      <x:c r="Q9" s="12" t="s">
        <x:v>83</x:v>
      </x:c>
      <x:c r="R9" s="10" t="s">
        <x:v>84</x:v>
      </x:c>
      <x:c r="S9" s="11" t="s">
        <x:v>66</x:v>
      </x:c>
      <x:c r="T9" s="12" t="s">
        <x:v>83</x:v>
      </x:c>
      <x:c r="U9" s="11" t="s">
        <x:v>53</x:v>
      </x:c>
      <x:c r="V9" s="12"/>
      <x:c r="W9" s="11" t="s">
        <x:v>53</x:v>
      </x:c>
      <x:c r="X9" s="11" t="s">
        <x:v>53</x:v>
      </x:c>
      <x:c r="Y9" s="12"/>
      <x:c r="Z9" s="11" t="s">
        <x:v>54</x:v>
      </x:c>
      <x:c r="AA9" s="10" t="s">
        <x:v>85</x:v>
      </x:c>
      <x:c r="AB9" s="11" t="s">
        <x:v>53</x:v>
      </x:c>
      <x:c r="AC9" s="88"/>
      <x:c r="AD9" s="92"/>
      <x:c r="AE9"/>
    </x:row>
    <x:row r="10" ht="60.95000076293945" customHeight="1">
      <x:c r="A10" s="15">
        <x:v>8</x:v>
      </x:c>
      <x:c r="B10" s="10" t="s">
        <x:v>86</x:v>
      </x:c>
      <x:c r="C10" s="10" t="s">
        <x:v>87</x:v>
      </x:c>
      <x:c r="D10" s="13">
        <x:v>-9.2219999999999995</x:v>
      </x:c>
      <x:c r="E10" s="13">
        <x:v>0.51118543744087197</x:v>
      </x:c>
      <x:c r="F10" s="15">
        <x:v>0</x:v>
      </x:c>
      <x:c r="G10" s="14">
        <x:v>341.45</x:v>
      </x:c>
      <x:c r="H10" s="14">
        <x:v>3.24</x:v>
      </x:c>
      <x:c r="I10" s="14">
        <x:v>58.56</x:v>
      </x:c>
      <x:c r="J10" s="15">
        <x:v>11</x:v>
      </x:c>
      <x:c r="K10" s="15">
        <x:v>1989</x:v>
      </x:c>
      <x:c r="L10" s="11" t="s">
        <x:v>34</x:v>
      </x:c>
      <x:c r="M10" s="10"/>
      <x:c r="N10" s="12"/>
      <x:c r="O10" s="11" t="s">
        <x:v>35</x:v>
      </x:c>
      <x:c r="P10" s="10" t="s">
        <x:v>63</x:v>
      </x:c>
      <x:c r="Q10" s="12" t="s">
        <x:v>88</x:v>
      </x:c>
      <x:c r="R10" s="10" t="s">
        <x:v>89</x:v>
      </x:c>
      <x:c r="S10" s="11" t="s">
        <x:v>66</x:v>
      </x:c>
      <x:c r="T10" s="12" t="s">
        <x:v>88</x:v>
      </x:c>
      <x:c r="U10" s="11" t="s">
        <x:v>53</x:v>
      </x:c>
      <x:c r="V10" s="12"/>
      <x:c r="W10" s="11" t="s">
        <x:v>53</x:v>
      </x:c>
      <x:c r="X10" s="11" t="s">
        <x:v>53</x:v>
      </x:c>
      <x:c r="Y10" s="12"/>
      <x:c r="Z10" s="11" t="s">
        <x:v>54</x:v>
      </x:c>
      <x:c r="AA10" s="10" t="s">
        <x:v>90</x:v>
      </x:c>
      <x:c r="AB10" s="11" t="s">
        <x:v>53</x:v>
      </x:c>
      <x:c r="AC10" s="88"/>
      <x:c r="AD10" s="92"/>
      <x:c r="AE10"/>
    </x:row>
    <x:row r="11" ht="60.95000076293945" customHeight="1">
      <x:c r="A11" s="15">
        <x:v>9</x:v>
      </x:c>
      <x:c r="B11" s="10" t="s">
        <x:v>91</x:v>
      </x:c>
      <x:c r="C11" s="10" t="s">
        <x:v>92</x:v>
      </x:c>
      <x:c r="D11" s="13">
        <x:v>-9.1709999999999994</x:v>
      </x:c>
      <x:c r="E11" s="13">
        <x:v>0.52411231398582503</x:v>
      </x:c>
      <x:c r="F11" s="15">
        <x:v>0</x:v>
      </x:c>
      <x:c r="G11" s="14">
        <x:v>361.4</x:v>
      </x:c>
      <x:c r="H11" s="14">
        <x:v>4.1100000000000003</x:v>
      </x:c>
      <x:c r="I11" s="14">
        <x:v>65.489999999999995</x:v>
      </x:c>
      <x:c r="J11" s="15">
        <x:v>5</x:v>
      </x:c>
      <x:c r="K11" s="15">
        <x:v>2004</x:v>
      </x:c>
      <x:c r="L11" s="11" t="s">
        <x:v>34</x:v>
      </x:c>
      <x:c r="M11" s="10"/>
      <x:c r="N11" s="12"/>
      <x:c r="O11" s="11" t="s">
        <x:v>78</x:v>
      </x:c>
      <x:c r="P11" s="10" t="s">
        <x:v>93</x:v>
      </x:c>
      <x:c r="Q11" s="12" t="s">
        <x:v>94</x:v>
      </x:c>
      <x:c r="R11" s="10" t="s">
        <x:v>53</x:v>
      </x:c>
      <x:c r="S11" s="11" t="s">
        <x:v>53</x:v>
      </x:c>
      <x:c r="T11" s="12"/>
      <x:c r="U11" s="11" t="s">
        <x:v>53</x:v>
      </x:c>
      <x:c r="V11" s="12"/>
      <x:c r="W11" s="11" t="s">
        <x:v>53</x:v>
      </x:c>
      <x:c r="X11" s="11" t="s">
        <x:v>53</x:v>
      </x:c>
      <x:c r="Y11" s="12"/>
      <x:c r="Z11" s="11" t="s">
        <x:v>54</x:v>
      </x:c>
      <x:c r="AA11" s="10" t="s">
        <x:v>95</x:v>
      </x:c>
      <x:c r="AB11" s="11" t="s">
        <x:v>53</x:v>
      </x:c>
      <x:c r="AC11" s="88"/>
      <x:c r="AD11" s="92"/>
      <x:c r="AE11"/>
    </x:row>
    <x:row r="12" ht="60.95000076293945" customHeight="1">
      <x:c r="A12" s="15">
        <x:v>10</x:v>
      </x:c>
      <x:c r="B12" s="10" t="s">
        <x:v>96</x:v>
      </x:c>
      <x:c r="C12" s="10" t="s">
        <x:v>97</x:v>
      </x:c>
      <x:c r="D12" s="13">
        <x:v>-9.09</x:v>
      </x:c>
      <x:c r="E12" s="13">
        <x:v>0.55189631581306497</x:v>
      </x:c>
      <x:c r="F12" s="15">
        <x:v>1</x:v>
      </x:c>
      <x:c r="G12" s="14">
        <x:v>364.44</x:v>
      </x:c>
      <x:c r="H12" s="14">
        <x:v>5.3</x:v>
      </x:c>
      <x:c r="I12" s="14">
        <x:v>52.6</x:v>
      </x:c>
      <x:c r="J12" s="15">
        <x:v>4</x:v>
      </x:c>
      <x:c r="K12" s="15"/>
      <x:c r="L12" s="11" t="s">
        <x:v>50</x:v>
      </x:c>
      <x:c r="M12" s="10" t="s">
        <x:v>98</x:v>
      </x:c>
      <x:c r="N12" s="12" t="s">
        <x:v>99</x:v>
      </x:c>
      <x:c r="O12" s="11" t="s">
        <x:v>53</x:v>
      </x:c>
      <x:c r="P12" s="10" t="s">
        <x:v>53</x:v>
      </x:c>
      <x:c r="Q12" s="12"/>
      <x:c r="R12" s="10" t="s">
        <x:v>53</x:v>
      </x:c>
      <x:c r="S12" s="11" t="s">
        <x:v>53</x:v>
      </x:c>
      <x:c r="T12" s="12"/>
      <x:c r="U12" s="11" t="s">
        <x:v>53</x:v>
      </x:c>
      <x:c r="V12" s="12"/>
      <x:c r="W12" s="11" t="s">
        <x:v>53</x:v>
      </x:c>
      <x:c r="X12" s="11" t="s">
        <x:v>53</x:v>
      </x:c>
      <x:c r="Y12" s="12"/>
      <x:c r="Z12" s="11" t="s">
        <x:v>54</x:v>
      </x:c>
      <x:c r="AA12" s="10" t="s">
        <x:v>100</x:v>
      </x:c>
      <x:c r="AB12" s="11" t="s">
        <x:v>53</x:v>
      </x:c>
      <x:c r="AC12" s="88"/>
      <x:c r="AD12" s="92"/>
      <x:c r="AE12" t="s">
        <x:v>101</x:v>
      </x:c>
    </x:row>
    <x:row r="13" ht="60.95000076293945" customHeight="1">
      <x:c r="A13" s="15">
        <x:v>11</x:v>
      </x:c>
      <x:c r="B13" s="10" t="s">
        <x:v>102</x:v>
      </x:c>
      <x:c r="C13" s="10" t="s">
        <x:v>103</x:v>
      </x:c>
      <x:c r="D13" s="13">
        <x:v>-9.0609999999999999</x:v>
      </x:c>
      <x:c r="E13" s="13">
        <x:v>0.93699290752410902</x:v>
      </x:c>
      <x:c r="F13" s="15">
        <x:v>0</x:v>
      </x:c>
      <x:c r="G13" s="14">
        <x:v>309.33</x:v>
      </x:c>
      <x:c r="H13" s="14">
        <x:v>4.4400000000000004</x:v>
      </x:c>
      <x:c r="I13" s="14">
        <x:v>21.26</x:v>
      </x:c>
      <x:c r="J13" s="15">
        <x:v>6</x:v>
      </x:c>
      <x:c r="K13" s="15">
        <x:v>1987</x:v>
      </x:c>
      <x:c r="L13" s="11" t="s">
        <x:v>34</x:v>
      </x:c>
      <x:c r="M13" s="10"/>
      <x:c r="N13" s="12"/>
      <x:c r="O13" s="11" t="s">
        <x:v>35</x:v>
      </x:c>
      <x:c r="P13" s="10" t="s">
        <x:v>63</x:v>
      </x:c>
      <x:c r="Q13" s="12" t="s">
        <x:v>104</x:v>
      </x:c>
      <x:c r="R13" s="10" t="s">
        <x:v>105</x:v>
      </x:c>
      <x:c r="S13" s="11" t="s">
        <x:v>39</x:v>
      </x:c>
      <x:c r="T13" s="12" t="s">
        <x:v>104</x:v>
      </x:c>
      <x:c r="U13" s="11" t="s">
        <x:v>73</x:v>
      </x:c>
      <x:c r="V13" s="12" t="s">
        <x:v>106</x:v>
      </x:c>
      <x:c r="W13" s="11" t="s">
        <x:v>75</x:v>
      </x:c>
      <x:c r="X13" s="11" t="s">
        <x:v>107</x:v>
      </x:c>
      <x:c r="Y13" s="12" t="s">
        <x:v>108</x:v>
      </x:c>
      <x:c r="Z13" s="11" t="s">
        <x:v>45</x:v>
      </x:c>
      <x:c r="AA13" s="10"/>
      <x:c r="AB13" s="11" t="s">
        <x:v>46</x:v>
      </x:c>
      <x:c r="AC13" s="88" t="str">
        <x:v>8/8</x:v>
      </x:c>
      <x:c r="AD13" s="94" t="n">
        <x:v>2.9</x:v>
      </x:c>
      <x:c r="AE13" t="s">
        <x:v>109</x:v>
      </x:c>
    </x:row>
    <x:row r="14" ht="78" customHeight="1">
      <x:c r="A14" s="15">
        <x:v>12</x:v>
      </x:c>
      <x:c r="B14" s="10" t="s">
        <x:v>110</x:v>
      </x:c>
      <x:c r="C14" s="10" t="s">
        <x:v>111</x:v>
      </x:c>
      <x:c r="D14" s="13">
        <x:v>-9.0329999999999995</x:v>
      </x:c>
      <x:c r="E14" s="13">
        <x:v>0.94965058565139804</x:v>
      </x:c>
      <x:c r="F14" s="15">
        <x:v>0</x:v>
      </x:c>
      <x:c r="G14" s="14">
        <x:v>309.45</x:v>
      </x:c>
      <x:c r="H14" s="14">
        <x:v>4.1900000000000004</x:v>
      </x:c>
      <x:c r="I14" s="14">
        <x:v>23.47</x:v>
      </x:c>
      <x:c r="J14" s="15">
        <x:v>6</x:v>
      </x:c>
      <x:c r="K14" s="15">
        <x:v>1967</x:v>
      </x:c>
      <x:c r="L14" s="11" t="s">
        <x:v>34</x:v>
      </x:c>
      <x:c r="M14" s="10"/>
      <x:c r="N14" s="12"/>
      <x:c r="O14" s="11" t="s">
        <x:v>35</x:v>
      </x:c>
      <x:c r="P14" s="10" t="s">
        <x:v>63</x:v>
      </x:c>
      <x:c r="Q14" s="12" t="s">
        <x:v>112</x:v>
      </x:c>
      <x:c r="R14" s="10" t="s">
        <x:v>113</x:v>
      </x:c>
      <x:c r="S14" s="11" t="s">
        <x:v>66</x:v>
      </x:c>
      <x:c r="T14" s="12" t="s">
        <x:v>112</x:v>
      </x:c>
      <x:c r="U14" s="11" t="s">
        <x:v>53</x:v>
      </x:c>
      <x:c r="V14" s="12"/>
      <x:c r="W14" s="11" t="s">
        <x:v>53</x:v>
      </x:c>
      <x:c r="X14" s="11" t="s">
        <x:v>53</x:v>
      </x:c>
      <x:c r="Y14" s="12"/>
      <x:c r="Z14" s="11" t="s">
        <x:v>54</x:v>
      </x:c>
      <x:c r="AA14" s="10" t="s">
        <x:v>114</x:v>
      </x:c>
      <x:c r="AB14" s="11" t="s">
        <x:v>53</x:v>
      </x:c>
      <x:c r="AC14" s="88"/>
      <x:c r="AD14" s="92"/>
      <x:c r="AE14"/>
    </x:row>
    <x:row r="15" ht="78" customHeight="1">
      <x:c r="A15" s="15">
        <x:v>13</x:v>
      </x:c>
      <x:c r="B15" s="10" t="s">
        <x:v>115</x:v>
      </x:c>
      <x:c r="C15" s="10" t="s">
        <x:v>116</x:v>
      </x:c>
      <x:c r="D15" s="13">
        <x:v>-8.9740000000000002</x:v>
      </x:c>
      <x:c r="E15" s="13">
        <x:v>0.74038978815078704</x:v>
      </x:c>
      <x:c r="F15" s="15">
        <x:v>0</x:v>
      </x:c>
      <x:c r="G15" s="14">
        <x:v>494.01</x:v>
      </x:c>
      <x:c r="H15" s="14">
        <x:v>3.64</x:v>
      </x:c>
      <x:c r="I15" s="14">
        <x:v>113.6</x:v>
      </x:c>
      <x:c r="J15" s="15">
        <x:v>8</x:v>
      </x:c>
      <x:c r="K15" s="15">
        <x:v>1984</x:v>
      </x:c>
      <x:c r="L15" s="11" t="s">
        <x:v>34</x:v>
      </x:c>
      <x:c r="M15" s="10"/>
      <x:c r="N15" s="12"/>
      <x:c r="O15" s="11" t="s">
        <x:v>35</x:v>
      </x:c>
      <x:c r="P15" s="10" t="s">
        <x:v>63</x:v>
      </x:c>
      <x:c r="Q15" s="12" t="s">
        <x:v>117</x:v>
      </x:c>
      <x:c r="R15" s="10" t="s">
        <x:v>118</x:v>
      </x:c>
      <x:c r="S15" s="11" t="s">
        <x:v>66</x:v>
      </x:c>
      <x:c r="T15" s="12" t="s">
        <x:v>119</x:v>
      </x:c>
      <x:c r="U15" s="11" t="s">
        <x:v>53</x:v>
      </x:c>
      <x:c r="V15" s="12"/>
      <x:c r="W15" s="11" t="s">
        <x:v>53</x:v>
      </x:c>
      <x:c r="X15" s="11" t="s">
        <x:v>53</x:v>
      </x:c>
      <x:c r="Y15" s="12"/>
      <x:c r="Z15" s="11" t="s">
        <x:v>54</x:v>
      </x:c>
      <x:c r="AA15" s="10" t="s">
        <x:v>120</x:v>
      </x:c>
      <x:c r="AB15" s="11" t="s">
        <x:v>53</x:v>
      </x:c>
      <x:c r="AC15" s="88"/>
      <x:c r="AD15" s="92"/>
      <x:c r="AE15"/>
    </x:row>
    <x:row r="16" ht="60.95000076293945" customHeight="1">
      <x:c r="A16" s="15">
        <x:v>14</x:v>
      </x:c>
      <x:c r="B16" s="10" t="s">
        <x:v>121</x:v>
      </x:c>
      <x:c r="C16" s="10" t="s">
        <x:v>122</x:v>
      </x:c>
      <x:c r="D16" s="13">
        <x:v>-8.9589999999999996</x:v>
      </x:c>
      <x:c r="E16" s="13">
        <x:v>0.96826955080032395</x:v>
      </x:c>
      <x:c r="F16" s="15">
        <x:v>0</x:v>
      </x:c>
      <x:c r="G16" s="14">
        <x:v>242.23</x:v>
      </x:c>
      <x:c r="H16" s="14">
        <x:v>2.62</x:v>
      </x:c>
      <x:c r="I16" s="14">
        <x:v>52.6</x:v>
      </x:c>
      <x:c r="J16" s="15">
        <x:v>2</x:v>
      </x:c>
      <x:c r="K16" s="15">
        <x:v>1984</x:v>
      </x:c>
      <x:c r="L16" s="11" t="s">
        <x:v>34</x:v>
      </x:c>
      <x:c r="M16" s="10"/>
      <x:c r="N16" s="12"/>
      <x:c r="O16" s="11" t="s">
        <x:v>78</x:v>
      </x:c>
      <x:c r="P16" s="10" t="s">
        <x:v>123</x:v>
      </x:c>
      <x:c r="Q16" s="12" t="s">
        <x:v>124</x:v>
      </x:c>
      <x:c r="R16" s="10" t="s">
        <x:v>53</x:v>
      </x:c>
      <x:c r="S16" s="11" t="s">
        <x:v>53</x:v>
      </x:c>
      <x:c r="T16" s="12"/>
      <x:c r="U16" s="11" t="s">
        <x:v>53</x:v>
      </x:c>
      <x:c r="V16" s="12"/>
      <x:c r="W16" s="11" t="s">
        <x:v>53</x:v>
      </x:c>
      <x:c r="X16" s="11" t="s">
        <x:v>53</x:v>
      </x:c>
      <x:c r="Y16" s="12"/>
      <x:c r="Z16" s="11" t="s">
        <x:v>54</x:v>
      </x:c>
      <x:c r="AA16" s="10" t="s">
        <x:v>125</x:v>
      </x:c>
      <x:c r="AB16" s="11" t="s">
        <x:v>53</x:v>
      </x:c>
      <x:c r="AC16" s="88"/>
      <x:c r="AD16" s="92"/>
      <x:c r="AE16"/>
    </x:row>
    <x:row r="17" ht="78" customHeight="1">
      <x:c r="A17" s="15">
        <x:v>15</x:v>
      </x:c>
      <x:c r="B17" s="10" t="s">
        <x:v>126</x:v>
      </x:c>
      <x:c r="C17" s="10" t="s">
        <x:v>127</x:v>
      </x:c>
      <x:c r="D17" s="13">
        <x:v>-8.9090000000000007</x:v>
      </x:c>
      <x:c r="E17" s="13">
        <x:v>0.93933814764022805</x:v>
      </x:c>
      <x:c r="F17" s="15">
        <x:v>1</x:v>
      </x:c>
      <x:c r="G17" s="14">
        <x:v>231.25</x:v>
      </x:c>
      <x:c r="H17" s="14">
        <x:v>1.42</x:v>
      </x:c>
      <x:c r="I17" s="14">
        <x:v>67.16</x:v>
      </x:c>
      <x:c r="J17" s="15">
        <x:v>4</x:v>
      </x:c>
      <x:c r="K17" s="15">
        <x:v>1959</x:v>
      </x:c>
      <x:c r="L17" s="11" t="s">
        <x:v>128</x:v>
      </x:c>
      <x:c r="M17" s="10" t="s">
        <x:v>129</x:v>
      </x:c>
      <x:c r="N17" s="12" t="s">
        <x:v>130</x:v>
      </x:c>
      <x:c r="O17" s="11" t="s">
        <x:v>35</x:v>
      </x:c>
      <x:c r="P17" s="10" t="s">
        <x:v>63</x:v>
      </x:c>
      <x:c r="Q17" s="12" t="s">
        <x:v>130</x:v>
      </x:c>
      <x:c r="R17" s="10" t="s">
        <x:v>131</x:v>
      </x:c>
      <x:c r="S17" s="11" t="s">
        <x:v>66</x:v>
      </x:c>
      <x:c r="T17" s="12" t="s">
        <x:v>130</x:v>
      </x:c>
      <x:c r="U17" s="11" t="s">
        <x:v>53</x:v>
      </x:c>
      <x:c r="V17" s="12"/>
      <x:c r="W17" s="11" t="s">
        <x:v>53</x:v>
      </x:c>
      <x:c r="X17" s="11" t="s">
        <x:v>53</x:v>
      </x:c>
      <x:c r="Y17" s="12"/>
      <x:c r="Z17" s="11" t="s">
        <x:v>54</x:v>
      </x:c>
      <x:c r="AA17" s="10" t="s">
        <x:v>132</x:v>
      </x:c>
      <x:c r="AB17" s="11" t="s">
        <x:v>53</x:v>
      </x:c>
      <x:c r="AC17" s="88"/>
      <x:c r="AD17" s="92"/>
      <x:c r="AE17"/>
    </x:row>
    <x:row r="18" ht="60.95000076293945" customHeight="1">
      <x:c r="A18" s="15">
        <x:v>16</x:v>
      </x:c>
      <x:c r="B18" s="10" t="s">
        <x:v>133</x:v>
      </x:c>
      <x:c r="C18" s="10" t="s">
        <x:v>134</x:v>
      </x:c>
      <x:c r="D18" s="13">
        <x:v>-8.8930000000000007</x:v>
      </x:c>
      <x:c r="E18" s="13">
        <x:v>0.91114209890365605</x:v>
      </x:c>
      <x:c r="F18" s="15">
        <x:v>0</x:v>
      </x:c>
      <x:c r="G18" s="14">
        <x:v>212.25</x:v>
      </x:c>
      <x:c r="H18" s="14">
        <x:v>3.04</x:v>
      </x:c>
      <x:c r="I18" s="14">
        <x:v>26.3</x:v>
      </x:c>
      <x:c r="J18" s="15">
        <x:v>3</x:v>
      </x:c>
      <x:c r="K18" s="15">
        <x:v>1976</x:v>
      </x:c>
      <x:c r="L18" s="11" t="s">
        <x:v>34</x:v>
      </x:c>
      <x:c r="M18" s="10"/>
      <x:c r="N18" s="12"/>
      <x:c r="O18" s="11" t="s">
        <x:v>135</x:v>
      </x:c>
      <x:c r="P18" s="10" t="s">
        <x:v>123</x:v>
      </x:c>
      <x:c r="Q18" s="12" t="s">
        <x:v>136</x:v>
      </x:c>
      <x:c r="R18" s="10" t="s">
        <x:v>53</x:v>
      </x:c>
      <x:c r="S18" s="11" t="s">
        <x:v>53</x:v>
      </x:c>
      <x:c r="T18" s="12"/>
      <x:c r="U18" s="11" t="s">
        <x:v>53</x:v>
      </x:c>
      <x:c r="V18" s="12"/>
      <x:c r="W18" s="11" t="s">
        <x:v>53</x:v>
      </x:c>
      <x:c r="X18" s="11" t="s">
        <x:v>53</x:v>
      </x:c>
      <x:c r="Y18" s="12"/>
      <x:c r="Z18" s="11" t="s">
        <x:v>54</x:v>
      </x:c>
      <x:c r="AA18" s="10" t="s">
        <x:v>137</x:v>
      </x:c>
      <x:c r="AB18" s="11" t="s">
        <x:v>53</x:v>
      </x:c>
      <x:c r="AC18" s="88"/>
      <x:c r="AD18" s="92"/>
      <x:c r="AE18"/>
    </x:row>
    <x:row r="19" ht="78" customHeight="1">
      <x:c r="A19" s="15">
        <x:v>17</x:v>
      </x:c>
      <x:c r="B19" s="10" t="s">
        <x:v>138</x:v>
      </x:c>
      <x:c r="C19" s="10" t="s">
        <x:v>139</x:v>
      </x:c>
      <x:c r="D19" s="13">
        <x:v>-8.8759999999999994</x:v>
      </x:c>
      <x:c r="E19" s="13">
        <x:v>0.96711462736129805</x:v>
      </x:c>
      <x:c r="F19" s="15">
        <x:v>0</x:v>
      </x:c>
      <x:c r="G19" s="14">
        <x:v>238.16</x:v>
      </x:c>
      <x:c r="H19" s="14">
        <x:v>7.0000000000000007E-2</x:v>
      </x:c>
      <x:c r="I19" s="14">
        <x:v>118.05</x:v>
      </x:c>
      <x:c r="J19" s="15">
        <x:v>3</x:v>
      </x:c>
      <x:c r="K19" s="15">
        <x:v>1953</x:v>
      </x:c>
      <x:c r="L19" s="11" t="s">
        <x:v>34</x:v>
      </x:c>
      <x:c r="M19" s="10"/>
      <x:c r="N19" s="12"/>
      <x:c r="O19" s="11" t="s">
        <x:v>35</x:v>
      </x:c>
      <x:c r="P19" s="10" t="s">
        <x:v>63</x:v>
      </x:c>
      <x:c r="Q19" s="12" t="s">
        <x:v>140</x:v>
      </x:c>
      <x:c r="R19" s="10" t="s">
        <x:v>141</x:v>
      </x:c>
      <x:c r="S19" s="11" t="s">
        <x:v>66</x:v>
      </x:c>
      <x:c r="T19" s="12" t="s">
        <x:v>142</x:v>
      </x:c>
      <x:c r="U19" s="11" t="s">
        <x:v>53</x:v>
      </x:c>
      <x:c r="V19" s="12"/>
      <x:c r="W19" s="11" t="s">
        <x:v>53</x:v>
      </x:c>
      <x:c r="X19" s="11" t="s">
        <x:v>53</x:v>
      </x:c>
      <x:c r="Y19" s="12"/>
      <x:c r="Z19" s="11" t="s">
        <x:v>54</x:v>
      </x:c>
      <x:c r="AA19" s="10" t="s">
        <x:v>143</x:v>
      </x:c>
      <x:c r="AB19" s="11" t="s">
        <x:v>53</x:v>
      </x:c>
      <x:c r="AC19" s="88"/>
      <x:c r="AD19" s="92"/>
      <x:c r="AE19"/>
    </x:row>
    <x:row r="20" ht="78" customHeight="1">
      <x:c r="A20" s="15">
        <x:v>18</x:v>
      </x:c>
      <x:c r="B20" s="10" t="s">
        <x:v>144</x:v>
      </x:c>
      <x:c r="C20" s="10" t="s">
        <x:v>145</x:v>
      </x:c>
      <x:c r="D20" s="13">
        <x:v>-8.8580000000000005</x:v>
      </x:c>
      <x:c r="E20" s="13">
        <x:v>0.64599796533584597</x:v>
      </x:c>
      <x:c r="F20" s="15">
        <x:v>1</x:v>
      </x:c>
      <x:c r="G20" s="14">
        <x:v>205.26</x:v>
      </x:c>
      <x:c r="H20" s="14">
        <x:v>0.24</x:v>
      </x:c>
      <x:c r="I20" s="14">
        <x:v>97.78</x:v>
      </x:c>
      <x:c r="J20" s="15">
        <x:v>3</x:v>
      </x:c>
      <x:c r="K20" s="15"/>
      <x:c r="L20" s="11" t="s">
        <x:v>50</x:v>
      </x:c>
      <x:c r="M20" s="10" t="s">
        <x:v>146</x:v>
      </x:c>
      <x:c r="N20" s="12" t="s">
        <x:v>147</x:v>
      </x:c>
      <x:c r="O20" s="11" t="s">
        <x:v>53</x:v>
      </x:c>
      <x:c r="P20" s="10" t="s">
        <x:v>53</x:v>
      </x:c>
      <x:c r="Q20" s="12"/>
      <x:c r="R20" s="10" t="s">
        <x:v>53</x:v>
      </x:c>
      <x:c r="S20" s="11" t="s">
        <x:v>53</x:v>
      </x:c>
      <x:c r="T20" s="12"/>
      <x:c r="U20" s="11" t="s">
        <x:v>53</x:v>
      </x:c>
      <x:c r="V20" s="12"/>
      <x:c r="W20" s="11" t="s">
        <x:v>53</x:v>
      </x:c>
      <x:c r="X20" s="11" t="s">
        <x:v>53</x:v>
      </x:c>
      <x:c r="Y20" s="12"/>
      <x:c r="Z20" s="11" t="s">
        <x:v>54</x:v>
      </x:c>
      <x:c r="AA20" s="10" t="s">
        <x:v>148</x:v>
      </x:c>
      <x:c r="AB20" s="11" t="s">
        <x:v>53</x:v>
      </x:c>
      <x:c r="AC20" s="88"/>
      <x:c r="AD20" s="92"/>
      <x:c r="AE20"/>
    </x:row>
    <x:row r="21" ht="78" customHeight="1">
      <x:c r="A21" s="15">
        <x:v>19</x:v>
      </x:c>
      <x:c r="B21" s="10" t="s">
        <x:v>149</x:v>
      </x:c>
      <x:c r="C21" s="10" t="s">
        <x:v>150</x:v>
      </x:c>
      <x:c r="D21" s="13">
        <x:v>-8.81</x:v>
      </x:c>
      <x:c r="E21" s="13">
        <x:v>0.87702528238296495</x:v>
      </x:c>
      <x:c r="F21" s="15">
        <x:v>0</x:v>
      </x:c>
      <x:c r="G21" s="14">
        <x:v>314.26</x:v>
      </x:c>
      <x:c r="H21" s="14">
        <x:v>1.74</x:v>
      </x:c>
      <x:c r="I21" s="14">
        <x:v>118.05</x:v>
      </x:c>
      <x:c r="J21" s="15">
        <x:v>4</x:v>
      </x:c>
      <x:c r="K21" s="15">
        <x:v>1974</x:v>
      </x:c>
      <x:c r="L21" s="11" t="s">
        <x:v>34</x:v>
      </x:c>
      <x:c r="M21" s="10"/>
      <x:c r="N21" s="12"/>
      <x:c r="O21" s="11" t="s">
        <x:v>35</x:v>
      </x:c>
      <x:c r="P21" s="10" t="s">
        <x:v>36</x:v>
      </x:c>
      <x:c r="Q21" s="12" t="s">
        <x:v>151</x:v>
      </x:c>
      <x:c r="R21" s="10" t="s">
        <x:v>152</x:v>
      </x:c>
      <x:c r="S21" s="11" t="s">
        <x:v>66</x:v>
      </x:c>
      <x:c r="T21" s="12" t="s">
        <x:v>151</x:v>
      </x:c>
      <x:c r="U21" s="11" t="s">
        <x:v>53</x:v>
      </x:c>
      <x:c r="V21" s="12"/>
      <x:c r="W21" s="11" t="s">
        <x:v>53</x:v>
      </x:c>
      <x:c r="X21" s="11" t="s">
        <x:v>53</x:v>
      </x:c>
      <x:c r="Y21" s="12"/>
      <x:c r="Z21" s="11" t="s">
        <x:v>54</x:v>
      </x:c>
      <x:c r="AA21" s="10" t="s">
        <x:v>153</x:v>
      </x:c>
      <x:c r="AB21" s="11" t="s">
        <x:v>53</x:v>
      </x:c>
      <x:c r="AC21" s="88"/>
      <x:c r="AD21" s="92"/>
      <x:c r="AE21"/>
    </x:row>
    <x:row r="22" ht="60.95000076293945" customHeight="1">
      <x:c r="A22" s="15">
        <x:v>20</x:v>
      </x:c>
      <x:c r="B22" s="10" t="s">
        <x:v>154</x:v>
      </x:c>
      <x:c r="C22" s="10" t="s">
        <x:v>155</x:v>
      </x:c>
      <x:c r="D22" s="13">
        <x:v>-8.8019999999999996</x:v>
      </x:c>
      <x:c r="E22" s="13">
        <x:v>0.978032219409943</x:v>
      </x:c>
      <x:c r="F22" s="15">
        <x:v>0</x:v>
      </x:c>
      <x:c r="G22" s="14">
        <x:v>321.33999999999997</x:v>
      </x:c>
      <x:c r="H22" s="14">
        <x:v>0.54</x:v>
      </x:c>
      <x:c r="I22" s="14">
        <x:v>122.22</x:v>
      </x:c>
      <x:c r="J22" s="15">
        <x:v>7</x:v>
      </x:c>
      <x:c r="K22" s="15">
        <x:v>1994</x:v>
      </x:c>
      <x:c r="L22" s="11" t="s">
        <x:v>34</x:v>
      </x:c>
      <x:c r="M22" s="10"/>
      <x:c r="N22" s="12"/>
      <x:c r="O22" s="11" t="s">
        <x:v>78</x:v>
      </x:c>
      <x:c r="P22" s="10" t="s">
        <x:v>63</x:v>
      </x:c>
      <x:c r="Q22" s="12" t="s">
        <x:v>156</x:v>
      </x:c>
      <x:c r="R22" s="10" t="s">
        <x:v>53</x:v>
      </x:c>
      <x:c r="S22" s="11" t="s">
        <x:v>53</x:v>
      </x:c>
      <x:c r="T22" s="12"/>
      <x:c r="U22" s="11" t="s">
        <x:v>53</x:v>
      </x:c>
      <x:c r="V22" s="12"/>
      <x:c r="W22" s="11" t="s">
        <x:v>53</x:v>
      </x:c>
      <x:c r="X22" s="11" t="s">
        <x:v>53</x:v>
      </x:c>
      <x:c r="Y22" s="12"/>
      <x:c r="Z22" s="11" t="s">
        <x:v>54</x:v>
      </x:c>
      <x:c r="AA22" s="10" t="s">
        <x:v>157</x:v>
      </x:c>
      <x:c r="AB22" s="11" t="s">
        <x:v>53</x:v>
      </x:c>
      <x:c r="AC22" s="88"/>
      <x:c r="AD22" s="92"/>
      <x:c r="AE22"/>
    </x:row>
    <x:row r="23" ht="60.95000076293945" customHeight="1">
      <x:c r="A23" s="15">
        <x:v>21</x:v>
      </x:c>
      <x:c r="B23" s="10" t="s">
        <x:v>158</x:v>
      </x:c>
      <x:c r="C23" s="10" t="s">
        <x:v>159</x:v>
      </x:c>
      <x:c r="D23" s="13">
        <x:v>-8.7970000000000006</x:v>
      </x:c>
      <x:c r="E23" s="13">
        <x:v>0.99159636497497605</x:v>
      </x:c>
      <x:c r="F23" s="15">
        <x:v>0</x:v>
      </x:c>
      <x:c r="G23" s="14">
        <x:v>259.26</x:v>
      </x:c>
      <x:c r="H23" s="14">
        <x:v>0.03</x:v>
      </x:c>
      <x:c r="I23" s="14">
        <x:v>92.5</x:v>
      </x:c>
      <x:c r="J23" s="15">
        <x:v>1</x:v>
      </x:c>
      <x:c r="K23" s="15">
        <x:v>2005</x:v>
      </x:c>
      <x:c r="L23" s="11" t="s">
        <x:v>34</x:v>
      </x:c>
      <x:c r="M23" s="10"/>
      <x:c r="N23" s="12"/>
      <x:c r="O23" s="11" t="s">
        <x:v>35</x:v>
      </x:c>
      <x:c r="P23" s="10" t="s">
        <x:v>63</x:v>
      </x:c>
      <x:c r="Q23" s="12" t="s">
        <x:v>160</x:v>
      </x:c>
      <x:c r="R23" s="10" t="s">
        <x:v>161</x:v>
      </x:c>
      <x:c r="S23" s="11" t="s">
        <x:v>66</x:v>
      </x:c>
      <x:c r="T23" s="12" t="s">
        <x:v>162</x:v>
      </x:c>
      <x:c r="U23" s="11" t="s">
        <x:v>53</x:v>
      </x:c>
      <x:c r="V23" s="12"/>
      <x:c r="W23" s="11" t="s">
        <x:v>53</x:v>
      </x:c>
      <x:c r="X23" s="11" t="s">
        <x:v>53</x:v>
      </x:c>
      <x:c r="Y23" s="12"/>
      <x:c r="Z23" s="11" t="s">
        <x:v>54</x:v>
      </x:c>
      <x:c r="AA23" s="10" t="s">
        <x:v>163</x:v>
      </x:c>
      <x:c r="AB23" s="11" t="s">
        <x:v>53</x:v>
      </x:c>
      <x:c r="AC23" s="88"/>
      <x:c r="AD23" s="92"/>
      <x:c r="AE23"/>
    </x:row>
    <x:row r="24" ht="78" customHeight="1">
      <x:c r="A24" s="15">
        <x:v>22</x:v>
      </x:c>
      <x:c r="B24" s="10" t="s">
        <x:v>164</x:v>
      </x:c>
      <x:c r="C24" s="10" t="s">
        <x:v>165</x:v>
      </x:c>
      <x:c r="D24" s="13">
        <x:v>-8.7810000000000006</x:v>
      </x:c>
      <x:c r="E24" s="13">
        <x:v>0.85022755861282395</x:v>
      </x:c>
      <x:c r="F24" s="15">
        <x:v>0</x:v>
      </x:c>
      <x:c r="G24" s="14">
        <x:v>259.35000000000002</x:v>
      </x:c>
      <x:c r="H24" s="14">
        <x:v>2.58</x:v>
      </x:c>
      <x:c r="I24" s="14">
        <x:v>41.49</x:v>
      </x:c>
      <x:c r="J24" s="15">
        <x:v>6</x:v>
      </x:c>
      <x:c r="K24" s="15">
        <x:v>1967</x:v>
      </x:c>
      <x:c r="L24" s="11" t="s">
        <x:v>34</x:v>
      </x:c>
      <x:c r="M24" s="10"/>
      <x:c r="N24" s="12"/>
      <x:c r="O24" s="11" t="s">
        <x:v>35</x:v>
      </x:c>
      <x:c r="P24" s="10" t="s">
        <x:v>63</x:v>
      </x:c>
      <x:c r="Q24" s="12" t="s">
        <x:v>166</x:v>
      </x:c>
      <x:c r="R24" s="10" t="s">
        <x:v>167</x:v>
      </x:c>
      <x:c r="S24" s="11" t="s">
        <x:v>39</x:v>
      </x:c>
      <x:c r="T24" s="12" t="s">
        <x:v>166</x:v>
      </x:c>
      <x:c r="U24" s="11" t="s">
        <x:v>73</x:v>
      </x:c>
      <x:c r="V24" s="12" t="s">
        <x:v>166</x:v>
      </x:c>
      <x:c r="W24" s="11" t="s">
        <x:v>75</x:v>
      </x:c>
      <x:c r="X24" s="11" t="s">
        <x:v>44</x:v>
      </x:c>
      <x:c r="Y24" s="12"/>
      <x:c r="Z24" s="11" t="s">
        <x:v>45</x:v>
      </x:c>
      <x:c r="AA24" s="10"/>
      <x:c r="AB24" s="11" t="s">
        <x:v>46</x:v>
      </x:c>
      <x:c r="AC24" s="88" t="str">
        <x:v>8/8</x:v>
      </x:c>
      <x:c r="AD24" s="94" t="n">
        <x:v>2.79</x:v>
      </x:c>
      <x:c r="AE24" t="s">
        <x:v>168</x:v>
      </x:c>
    </x:row>
    <x:row r="25" ht="60.95000076293945" customHeight="1">
      <x:c r="A25" s="15">
        <x:v>23</x:v>
      </x:c>
      <x:c r="B25" s="10" t="s">
        <x:v>169</x:v>
      </x:c>
      <x:c r="C25" s="10" t="s">
        <x:v>170</x:v>
      </x:c>
      <x:c r="D25" s="13">
        <x:v>-8.7769999999999992</x:v>
      </x:c>
      <x:c r="E25" s="13">
        <x:v>0.98120886087417603</x:v>
      </x:c>
      <x:c r="F25" s="15">
        <x:v>0</x:v>
      </x:c>
      <x:c r="G25" s="14">
        <x:v>343.47</x:v>
      </x:c>
      <x:c r="H25" s="14">
        <x:v>3.49</x:v>
      </x:c>
      <x:c r="I25" s="14">
        <x:v>54.46</x:v>
      </x:c>
      <x:c r="J25" s="15">
        <x:v>10</x:v>
      </x:c>
      <x:c r="K25" s="15">
        <x:v>1982</x:v>
      </x:c>
      <x:c r="L25" s="11" t="s">
        <x:v>34</x:v>
      </x:c>
      <x:c r="M25" s="10"/>
      <x:c r="N25" s="12"/>
      <x:c r="O25" s="11" t="s">
        <x:v>78</x:v>
      </x:c>
      <x:c r="P25" s="10" t="s">
        <x:v>171</x:v>
      </x:c>
      <x:c r="Q25" s="12" t="s">
        <x:v>172</x:v>
      </x:c>
      <x:c r="R25" s="10" t="s">
        <x:v>53</x:v>
      </x:c>
      <x:c r="S25" s="11" t="s">
        <x:v>53</x:v>
      </x:c>
      <x:c r="T25" s="12"/>
      <x:c r="U25" s="11" t="s">
        <x:v>53</x:v>
      </x:c>
      <x:c r="V25" s="12"/>
      <x:c r="W25" s="11" t="s">
        <x:v>53</x:v>
      </x:c>
      <x:c r="X25" s="11" t="s">
        <x:v>53</x:v>
      </x:c>
      <x:c r="Y25" s="12"/>
      <x:c r="Z25" s="11" t="s">
        <x:v>54</x:v>
      </x:c>
      <x:c r="AA25" s="10" t="s">
        <x:v>173</x:v>
      </x:c>
      <x:c r="AB25" s="11" t="s">
        <x:v>53</x:v>
      </x:c>
      <x:c r="AC25" s="88"/>
      <x:c r="AD25" s="92"/>
      <x:c r="AE25"/>
    </x:row>
    <x:row r="26" ht="44.099998474121094" customHeight="1">
      <x:c r="A26" s="15">
        <x:v>24</x:v>
      </x:c>
      <x:c r="B26" s="10" t="s">
        <x:v>174</x:v>
      </x:c>
      <x:c r="C26" s="10" t="s">
        <x:v>175</x:v>
      </x:c>
      <x:c r="D26" s="13">
        <x:v>-8.7010000000000005</x:v>
      </x:c>
      <x:c r="E26" s="13">
        <x:v>0.89006708860397299</x:v>
      </x:c>
      <x:c r="F26" s="15">
        <x:v>1</x:v>
      </x:c>
      <x:c r="G26" s="14">
        <x:v>329.49</x:v>
      </x:c>
      <x:c r="H26" s="14">
        <x:v>5.43</x:v>
      </x:c>
      <x:c r="I26" s="14">
        <x:v>12.03</x:v>
      </x:c>
      <x:c r="J26" s="15">
        <x:v>8</x:v>
      </x:c>
      <x:c r="K26" s="15"/>
      <x:c r="L26" s="11" t="s">
        <x:v>50</x:v>
      </x:c>
      <x:c r="M26" s="10" t="s">
        <x:v>176</x:v>
      </x:c>
      <x:c r="N26" s="12" t="s">
        <x:v>177</x:v>
      </x:c>
      <x:c r="O26" s="11" t="s">
        <x:v>53</x:v>
      </x:c>
      <x:c r="P26" s="10" t="s">
        <x:v>53</x:v>
      </x:c>
      <x:c r="Q26" s="12"/>
      <x:c r="R26" s="10" t="s">
        <x:v>53</x:v>
      </x:c>
      <x:c r="S26" s="11" t="s">
        <x:v>53</x:v>
      </x:c>
      <x:c r="T26" s="12"/>
      <x:c r="U26" s="11" t="s">
        <x:v>53</x:v>
      </x:c>
      <x:c r="V26" s="12"/>
      <x:c r="W26" s="11" t="s">
        <x:v>53</x:v>
      </x:c>
      <x:c r="X26" s="11" t="s">
        <x:v>53</x:v>
      </x:c>
      <x:c r="Y26" s="12"/>
      <x:c r="Z26" s="11" t="s">
        <x:v>54</x:v>
      </x:c>
      <x:c r="AA26" s="10" t="s">
        <x:v>178</x:v>
      </x:c>
      <x:c r="AB26" s="11" t="s">
        <x:v>53</x:v>
      </x:c>
      <x:c r="AC26" s="88"/>
      <x:c r="AD26" s="92"/>
      <x:c r="AE26"/>
    </x:row>
    <x:row r="27" ht="78" customHeight="1">
      <x:c r="A27" s="15">
        <x:v>25</x:v>
      </x:c>
      <x:c r="B27" s="10" t="s">
        <x:v>179</x:v>
      </x:c>
      <x:c r="C27" s="10" t="s">
        <x:v>180</x:v>
      </x:c>
      <x:c r="D27" s="13">
        <x:v>-8.6739999999999995</x:v>
      </x:c>
      <x:c r="E27" s="13">
        <x:v>0.94250463247299199</x:v>
      </x:c>
      <x:c r="F27" s="15">
        <x:v>0</x:v>
      </x:c>
      <x:c r="G27" s="14">
        <x:v>307.29000000000002</x:v>
      </x:c>
      <x:c r="H27" s="14">
        <x:v>2.23</x:v>
      </x:c>
      <x:c r="I27" s="14">
        <x:v>111.43</x:v>
      </x:c>
      <x:c r="J27" s="15">
        <x:v>4</x:v>
      </x:c>
      <x:c r="K27" s="15">
        <x:v>2002</x:v>
      </x:c>
      <x:c r="L27" s="11" t="s">
        <x:v>34</x:v>
      </x:c>
      <x:c r="M27" s="10"/>
      <x:c r="N27" s="12"/>
      <x:c r="O27" s="11" t="s">
        <x:v>78</x:v>
      </x:c>
      <x:c r="P27" s="10" t="s">
        <x:v>63</x:v>
      </x:c>
      <x:c r="Q27" s="12" t="s">
        <x:v>181</x:v>
      </x:c>
      <x:c r="R27" s="10" t="s">
        <x:v>53</x:v>
      </x:c>
      <x:c r="S27" s="11" t="s">
        <x:v>53</x:v>
      </x:c>
      <x:c r="T27" s="12"/>
      <x:c r="U27" s="11" t="s">
        <x:v>53</x:v>
      </x:c>
      <x:c r="V27" s="12"/>
      <x:c r="W27" s="11" t="s">
        <x:v>53</x:v>
      </x:c>
      <x:c r="X27" s="11" t="s">
        <x:v>53</x:v>
      </x:c>
      <x:c r="Y27" s="12"/>
      <x:c r="Z27" s="11" t="s">
        <x:v>54</x:v>
      </x:c>
      <x:c r="AA27" s="10" t="s">
        <x:v>182</x:v>
      </x:c>
      <x:c r="AB27" s="11" t="s">
        <x:v>53</x:v>
      </x:c>
      <x:c r="AC27" s="88"/>
      <x:c r="AD27" s="92"/>
      <x:c r="AE27"/>
    </x:row>
    <x:row r="28" ht="78" customHeight="1">
      <x:c r="A28" s="15">
        <x:v>26</x:v>
      </x:c>
      <x:c r="B28" s="10" t="s">
        <x:v>183</x:v>
      </x:c>
      <x:c r="C28" s="10" t="s">
        <x:v>184</x:v>
      </x:c>
      <x:c r="D28" s="13">
        <x:v>-8.6210000000000004</x:v>
      </x:c>
      <x:c r="E28" s="13">
        <x:v>0.98552182912826503</x:v>
      </x:c>
      <x:c r="F28" s="15">
        <x:v>0</x:v>
      </x:c>
      <x:c r="G28" s="14">
        <x:v>278.39999999999998</x:v>
      </x:c>
      <x:c r="H28" s="14">
        <x:v>3.92</x:v>
      </x:c>
      <x:c r="I28" s="14">
        <x:v>16.13</x:v>
      </x:c>
      <x:c r="J28" s="15">
        <x:v>4</x:v>
      </x:c>
      <x:c r="K28" s="15">
        <x:v>1982</x:v>
      </x:c>
      <x:c r="L28" s="11" t="s">
        <x:v>34</x:v>
      </x:c>
      <x:c r="M28" s="10"/>
      <x:c r="N28" s="12"/>
      <x:c r="O28" s="11" t="s">
        <x:v>35</x:v>
      </x:c>
      <x:c r="P28" s="10" t="s">
        <x:v>63</x:v>
      </x:c>
      <x:c r="Q28" s="12" t="s">
        <x:v>185</x:v>
      </x:c>
      <x:c r="R28" s="10" t="s">
        <x:v>186</x:v>
      </x:c>
      <x:c r="S28" s="11" t="s">
        <x:v>66</x:v>
      </x:c>
      <x:c r="T28" s="12" t="s">
        <x:v>187</x:v>
      </x:c>
      <x:c r="U28" s="11" t="s">
        <x:v>53</x:v>
      </x:c>
      <x:c r="V28" s="12"/>
      <x:c r="W28" s="11" t="s">
        <x:v>53</x:v>
      </x:c>
      <x:c r="X28" s="11" t="s">
        <x:v>53</x:v>
      </x:c>
      <x:c r="Y28" s="12"/>
      <x:c r="Z28" s="11" t="s">
        <x:v>54</x:v>
      </x:c>
      <x:c r="AA28" s="10" t="s">
        <x:v>188</x:v>
      </x:c>
      <x:c r="AB28" s="11" t="s">
        <x:v>53</x:v>
      </x:c>
      <x:c r="AC28" s="88"/>
      <x:c r="AD28" s="92"/>
      <x:c r="AE28"/>
    </x:row>
    <x:row r="29" ht="95.0999984741211" customHeight="1">
      <x:c r="A29" s="15">
        <x:v>27</x:v>
      </x:c>
      <x:c r="B29" s="10" t="s">
        <x:v>189</x:v>
      </x:c>
      <x:c r="C29" s="10" t="s">
        <x:v>190</x:v>
      </x:c>
      <x:c r="D29" s="13">
        <x:v>-8.6199999999999992</x:v>
      </x:c>
      <x:c r="E29" s="13">
        <x:v>0.74261598587036104</x:v>
      </x:c>
      <x:c r="F29" s="15">
        <x:v>0</x:v>
      </x:c>
      <x:c r="G29" s="14">
        <x:v>228.22</x:v>
      </x:c>
      <x:c r="H29" s="14">
        <x:v>0.18</x:v>
      </x:c>
      <x:c r="I29" s="14">
        <x:v>88.83</x:v>
      </x:c>
      <x:c r="J29" s="15">
        <x:v>1</x:v>
      </x:c>
      <x:c r="K29" s="15">
        <x:v>1999</x:v>
      </x:c>
      <x:c r="L29" s="11" t="s">
        <x:v>34</x:v>
      </x:c>
      <x:c r="M29" s="10"/>
      <x:c r="N29" s="12"/>
      <x:c r="O29" s="11" t="s">
        <x:v>35</x:v>
      </x:c>
      <x:c r="P29" s="10" t="s">
        <x:v>63</x:v>
      </x:c>
      <x:c r="Q29" s="12" t="s">
        <x:v>191</x:v>
      </x:c>
      <x:c r="R29" s="10" t="s">
        <x:v>192</x:v>
      </x:c>
      <x:c r="S29" s="11" t="s">
        <x:v>39</x:v>
      </x:c>
      <x:c r="T29" s="12" t="s">
        <x:v>191</x:v>
      </x:c>
      <x:c r="U29" s="11" t="s">
        <x:v>135</x:v>
      </x:c>
      <x:c r="V29" s="12" t="s">
        <x:v>193</x:v>
      </x:c>
      <x:c r="W29" s="11" t="s">
        <x:v>43</x:v>
      </x:c>
      <x:c r="X29" s="11" t="s">
        <x:v>44</x:v>
      </x:c>
      <x:c r="Y29" s="12"/>
      <x:c r="Z29" s="11" t="s">
        <x:v>45</x:v>
      </x:c>
      <x:c r="AA29" s="10"/>
      <x:c r="AB29" s="11" t="s">
        <x:v>46</x:v>
      </x:c>
      <x:c r="AC29" s="88" t="str">
        <x:v>6/8</x:v>
      </x:c>
      <x:c r="AD29" s="94" t="n">
        <x:v>2.93</x:v>
      </x:c>
      <x:c r="AE29" t="s">
        <x:v>194</x:v>
      </x:c>
    </x:row>
    <x:row r="30" ht="60.95000076293945" customHeight="1">
      <x:c r="A30" s="15">
        <x:v>28</x:v>
      </x:c>
      <x:c r="B30" s="10" t="s">
        <x:v>195</x:v>
      </x:c>
      <x:c r="C30" s="10" t="s">
        <x:v>196</x:v>
      </x:c>
      <x:c r="D30" s="13">
        <x:v>-8.6170000000000009</x:v>
      </x:c>
      <x:c r="E30" s="13">
        <x:v>0.976652956008911</x:v>
      </x:c>
      <x:c r="F30" s="15">
        <x:v>0</x:v>
      </x:c>
      <x:c r="G30" s="14">
        <x:v>276.20999999999998</x:v>
      </x:c>
      <x:c r="H30" s="14">
        <x:v>3.21</x:v>
      </x:c>
      <x:c r="I30" s="14">
        <x:v>72.239999999999995</x:v>
      </x:c>
      <x:c r="J30" s="15">
        <x:v>3</x:v>
      </x:c>
      <x:c r="K30" s="15">
        <x:v>1989</x:v>
      </x:c>
      <x:c r="L30" s="11" t="s">
        <x:v>34</x:v>
      </x:c>
      <x:c r="M30" s="10"/>
      <x:c r="N30" s="12"/>
      <x:c r="O30" s="11" t="s">
        <x:v>35</x:v>
      </x:c>
      <x:c r="P30" s="10" t="s">
        <x:v>63</x:v>
      </x:c>
      <x:c r="Q30" s="12" t="s">
        <x:v>197</x:v>
      </x:c>
      <x:c r="R30" s="10" t="s">
        <x:v>198</x:v>
      </x:c>
      <x:c r="S30" s="11" t="s">
        <x:v>66</x:v>
      </x:c>
      <x:c r="T30" s="12" t="s">
        <x:v>197</x:v>
      </x:c>
      <x:c r="U30" s="11" t="s">
        <x:v>53</x:v>
      </x:c>
      <x:c r="V30" s="12"/>
      <x:c r="W30" s="11" t="s">
        <x:v>53</x:v>
      </x:c>
      <x:c r="X30" s="11" t="s">
        <x:v>53</x:v>
      </x:c>
      <x:c r="Y30" s="12"/>
      <x:c r="Z30" s="11" t="s">
        <x:v>54</x:v>
      </x:c>
      <x:c r="AA30" s="10" t="s">
        <x:v>199</x:v>
      </x:c>
      <x:c r="AB30" s="11" t="s">
        <x:v>53</x:v>
      </x:c>
      <x:c r="AC30" s="88"/>
      <x:c r="AD30" s="92"/>
      <x:c r="AE30"/>
    </x:row>
    <x:row r="31" ht="78" customHeight="1">
      <x:c r="A31" s="15">
        <x:v>29</x:v>
      </x:c>
      <x:c r="B31" s="10" t="s">
        <x:v>200</x:v>
      </x:c>
      <x:c r="C31" s="10" t="s">
        <x:v>201</x:v>
      </x:c>
      <x:c r="D31" s="13">
        <x:v>-8.6010000000000009</x:v>
      </x:c>
      <x:c r="E31" s="13">
        <x:v>0.60991265475750001</x:v>
      </x:c>
      <x:c r="F31" s="15">
        <x:v>0</x:v>
      </x:c>
      <x:c r="G31" s="14">
        <x:v>250.34</x:v>
      </x:c>
      <x:c r="H31" s="14">
        <x:v>3.57</x:v>
      </x:c>
      <x:c r="I31" s="14">
        <x:v>46.53</x:v>
      </x:c>
      <x:c r="J31" s="15">
        <x:v>6</x:v>
      </x:c>
      <x:c r="K31" s="15">
        <x:v>1981</x:v>
      </x:c>
      <x:c r="L31" s="11" t="s">
        <x:v>34</x:v>
      </x:c>
      <x:c r="M31" s="10"/>
      <x:c r="N31" s="12"/>
      <x:c r="O31" s="11" t="s">
        <x:v>35</x:v>
      </x:c>
      <x:c r="P31" s="10" t="s">
        <x:v>63</x:v>
      </x:c>
      <x:c r="Q31" s="12" t="s">
        <x:v>202</x:v>
      </x:c>
      <x:c r="R31" s="10" t="s">
        <x:v>203</x:v>
      </x:c>
      <x:c r="S31" s="11" t="s">
        <x:v>39</x:v>
      </x:c>
      <x:c r="T31" s="12" t="s">
        <x:v>202</x:v>
      </x:c>
      <x:c r="U31" s="11" t="s">
        <x:v>41</x:v>
      </x:c>
      <x:c r="V31" s="12" t="s">
        <x:v>204</x:v>
      </x:c>
      <x:c r="W31" s="11" t="s">
        <x:v>75</x:v>
      </x:c>
      <x:c r="X31" s="11" t="s">
        <x:v>44</x:v>
      </x:c>
      <x:c r="Y31" s="12"/>
      <x:c r="Z31" s="11" t="s">
        <x:v>45</x:v>
      </x:c>
      <x:c r="AA31" s="10"/>
      <x:c r="AB31" s="11" t="s">
        <x:v>46</x:v>
      </x:c>
      <x:c r="AC31" s="88" t="str">
        <x:v>8/8</x:v>
      </x:c>
      <x:c r="AD31" s="94" t="n">
        <x:v>2.78</x:v>
      </x:c>
      <x:c r="AE31" t="s">
        <x:v>205</x:v>
      </x:c>
    </x:row>
    <x:row r="32" ht="95.0999984741211" customHeight="1">
      <x:c r="A32" s="15">
        <x:v>30</x:v>
      </x:c>
      <x:c r="B32" s="10" t="s">
        <x:v>206</x:v>
      </x:c>
      <x:c r="C32" s="10" t="s">
        <x:v>207</x:v>
      </x:c>
      <x:c r="D32" s="13">
        <x:v>-8.5980000000000008</x:v>
      </x:c>
      <x:c r="E32" s="13">
        <x:v>0.98879703283309905</x:v>
      </x:c>
      <x:c r="F32" s="15">
        <x:v>1</x:v>
      </x:c>
      <x:c r="G32" s="14">
        <x:v>201.22</x:v>
      </x:c>
      <x:c r="H32" s="14">
        <x:v>2.56</x:v>
      </x:c>
      <x:c r="I32" s="14">
        <x:v>38.33</x:v>
      </x:c>
      <x:c r="J32" s="15">
        <x:v>1</x:v>
      </x:c>
      <x:c r="K32" s="15"/>
      <x:c r="L32" s="11" t="s">
        <x:v>135</x:v>
      </x:c>
      <x:c r="M32" s="10" t="s">
        <x:v>208</x:v>
      </x:c>
      <x:c r="N32" s="12" t="s">
        <x:v>209</x:v>
      </x:c>
      <x:c r="O32" s="11" t="s">
        <x:v>135</x:v>
      </x:c>
      <x:c r="P32" s="10" t="s">
        <x:v>123</x:v>
      </x:c>
      <x:c r="Q32" s="12" t="s">
        <x:v>209</x:v>
      </x:c>
      <x:c r="R32" s="10" t="s">
        <x:v>53</x:v>
      </x:c>
      <x:c r="S32" s="11" t="s">
        <x:v>53</x:v>
      </x:c>
      <x:c r="T32" s="12"/>
      <x:c r="U32" s="11" t="s">
        <x:v>53</x:v>
      </x:c>
      <x:c r="V32" s="12"/>
      <x:c r="W32" s="11" t="s">
        <x:v>53</x:v>
      </x:c>
      <x:c r="X32" s="11" t="s">
        <x:v>53</x:v>
      </x:c>
      <x:c r="Y32" s="12"/>
      <x:c r="Z32" s="11" t="s">
        <x:v>54</x:v>
      </x:c>
      <x:c r="AA32" s="10" t="s">
        <x:v>210</x:v>
      </x:c>
      <x:c r="AB32" s="11" t="s">
        <x:v>53</x:v>
      </x:c>
      <x:c r="AC32" s="88"/>
      <x:c r="AD32" s="92"/>
      <x:c r="AE32" t="s">
        <x:v>211</x:v>
      </x:c>
    </x:row>
    <x:row r="33" ht="60.95000076293945" customHeight="1">
      <x:c r="A33" s="15">
        <x:v>31</x:v>
      </x:c>
      <x:c r="B33" s="10" t="s">
        <x:v>212</x:v>
      </x:c>
      <x:c r="C33" s="10" t="s">
        <x:v>213</x:v>
      </x:c>
      <x:c r="D33" s="13">
        <x:v>-8.5869999999999997</x:v>
      </x:c>
      <x:c r="E33" s="13">
        <x:v>0.63498695492744495</x:v>
      </x:c>
      <x:c r="F33" s="15">
        <x:v>0</x:v>
      </x:c>
      <x:c r="G33" s="14">
        <x:v>414.74</x:v>
      </x:c>
      <x:c r="H33" s="14">
        <x:v>4.3099999999999996</x:v>
      </x:c>
      <x:c r="I33" s="14">
        <x:v>75.62</x:v>
      </x:c>
      <x:c r="J33" s="15">
        <x:v>5</x:v>
      </x:c>
      <x:c r="K33" s="15">
        <x:v>2024</x:v>
      </x:c>
      <x:c r="L33" s="11" t="s">
        <x:v>34</x:v>
      </x:c>
      <x:c r="M33" s="10"/>
      <x:c r="N33" s="12"/>
      <x:c r="O33" s="11" t="s">
        <x:v>35</x:v>
      </x:c>
      <x:c r="P33" s="10" t="s">
        <x:v>63</x:v>
      </x:c>
      <x:c r="Q33" s="12" t="s">
        <x:v>214</x:v>
      </x:c>
      <x:c r="R33" s="10" t="s">
        <x:v>215</x:v>
      </x:c>
      <x:c r="S33" s="11" t="s">
        <x:v>39</x:v>
      </x:c>
      <x:c r="T33" s="12" t="s">
        <x:v>214</x:v>
      </x:c>
      <x:c r="U33" s="11" t="s">
        <x:v>73</x:v>
      </x:c>
      <x:c r="V33" s="12" t="s">
        <x:v>216</x:v>
      </x:c>
      <x:c r="W33" s="11" t="s">
        <x:v>75</x:v>
      </x:c>
      <x:c r="X33" s="11" t="s">
        <x:v>44</x:v>
      </x:c>
      <x:c r="Y33" s="12"/>
      <x:c r="Z33" s="11" t="s">
        <x:v>45</x:v>
      </x:c>
      <x:c r="AA33" s="10"/>
      <x:c r="AB33" s="11" t="s">
        <x:v>46</x:v>
      </x:c>
      <x:c r="AC33" s="88" t="str">
        <x:v>8/8</x:v>
      </x:c>
      <x:c r="AD33" s="94" t="n">
        <x:v>2.47</x:v>
      </x:c>
      <x:c r="AE33" t="str">
        <x:v>A human perioperative glioma study demonstrated tumor-tissue penetration and pharmacodynamic target engagement; preclinical studies additionally support penetration into normal brain tissue.</x:v>
      </x:c>
    </x:row>
    <x:row r="34" ht="60.95000076293945" customHeight="1">
      <x:c r="A34" s="15">
        <x:v>32</x:v>
      </x:c>
      <x:c r="B34" s="10" t="s">
        <x:v>217</x:v>
      </x:c>
      <x:c r="C34" s="10" t="s">
        <x:v>218</x:v>
      </x:c>
      <x:c r="D34" s="13">
        <x:v>-8.58</x:v>
      </x:c>
      <x:c r="E34" s="13">
        <x:v>0.60000825524330104</x:v>
      </x:c>
      <x:c r="F34" s="15">
        <x:v>1</x:v>
      </x:c>
      <x:c r="G34" s="14">
        <x:v>301.39</x:v>
      </x:c>
      <x:c r="H34" s="14">
        <x:v>2.81</x:v>
      </x:c>
      <x:c r="I34" s="14">
        <x:v>85.29</x:v>
      </x:c>
      <x:c r="J34" s="15">
        <x:v>7</x:v>
      </x:c>
      <x:c r="K34" s="15">
        <x:v>2002</x:v>
      </x:c>
      <x:c r="L34" s="11" t="s">
        <x:v>219</x:v>
      </x:c>
      <x:c r="M34" s="10" t="s">
        <x:v>220</x:v>
      </x:c>
      <x:c r="N34" s="12" t="s">
        <x:v>221</x:v>
      </x:c>
      <x:c r="O34" s="11" t="s">
        <x:v>35</x:v>
      </x:c>
      <x:c r="P34" s="10" t="s">
        <x:v>63</x:v>
      </x:c>
      <x:c r="Q34" s="12" t="s">
        <x:v>221</x:v>
      </x:c>
      <x:c r="R34" s="10" t="s">
        <x:v>222</x:v>
      </x:c>
      <x:c r="S34" s="11" t="s">
        <x:v>66</x:v>
      </x:c>
      <x:c r="T34" s="12" t="s">
        <x:v>221</x:v>
      </x:c>
      <x:c r="U34" s="11" t="s">
        <x:v>53</x:v>
      </x:c>
      <x:c r="V34" s="12"/>
      <x:c r="W34" s="11" t="s">
        <x:v>53</x:v>
      </x:c>
      <x:c r="X34" s="11" t="s">
        <x:v>53</x:v>
      </x:c>
      <x:c r="Y34" s="12"/>
      <x:c r="Z34" s="11" t="s">
        <x:v>54</x:v>
      </x:c>
      <x:c r="AA34" s="10" t="s">
        <x:v>223</x:v>
      </x:c>
      <x:c r="AB34" s="11" t="s">
        <x:v>53</x:v>
      </x:c>
      <x:c r="AC34" s="88"/>
      <x:c r="AD34" s="92"/>
      <x:c r="AE34"/>
    </x:row>
    <x:row r="35" ht="60.95000076293945" customHeight="1">
      <x:c r="A35" s="15">
        <x:v>33</x:v>
      </x:c>
      <x:c r="B35" s="10" t="s">
        <x:v>224</x:v>
      </x:c>
      <x:c r="C35" s="10" t="s">
        <x:v>225</x:v>
      </x:c>
      <x:c r="D35" s="13">
        <x:v>-8.5640000000000001</x:v>
      </x:c>
      <x:c r="E35" s="13">
        <x:v>0.54455965161323505</x:v>
      </x:c>
      <x:c r="F35" s="15">
        <x:v>0</x:v>
      </x:c>
      <x:c r="G35" s="14">
        <x:v>229.24</x:v>
      </x:c>
      <x:c r="H35" s="14">
        <x:v>2.19</x:v>
      </x:c>
      <x:c r="I35" s="14">
        <x:v>72.55</x:v>
      </x:c>
      <x:c r="J35" s="15">
        <x:v>2</x:v>
      </x:c>
      <x:c r="K35" s="15">
        <x:v>1982</x:v>
      </x:c>
      <x:c r="L35" s="11" t="s">
        <x:v>34</x:v>
      </x:c>
      <x:c r="M35" s="10"/>
      <x:c r="N35" s="12"/>
      <x:c r="O35" s="11" t="s">
        <x:v>135</x:v>
      </x:c>
      <x:c r="P35" s="10" t="s">
        <x:v>226</x:v>
      </x:c>
      <x:c r="Q35" s="12" t="s">
        <x:v>227</x:v>
      </x:c>
      <x:c r="R35" s="10" t="s">
        <x:v>53</x:v>
      </x:c>
      <x:c r="S35" s="11" t="s">
        <x:v>53</x:v>
      </x:c>
      <x:c r="T35" s="12"/>
      <x:c r="U35" s="11" t="s">
        <x:v>53</x:v>
      </x:c>
      <x:c r="V35" s="12"/>
      <x:c r="W35" s="11" t="s">
        <x:v>53</x:v>
      </x:c>
      <x:c r="X35" s="11" t="s">
        <x:v>53</x:v>
      </x:c>
      <x:c r="Y35" s="12"/>
      <x:c r="Z35" s="11" t="s">
        <x:v>54</x:v>
      </x:c>
      <x:c r="AA35" s="10" t="s">
        <x:v>228</x:v>
      </x:c>
      <x:c r="AB35" s="11" t="s">
        <x:v>53</x:v>
      </x:c>
      <x:c r="AC35" s="88"/>
      <x:c r="AD35" s="92"/>
      <x:c r="AE35" t="s">
        <x:v>229</x:v>
      </x:c>
    </x:row>
    <x:row r="36" ht="60.95000076293945" customHeight="1">
      <x:c r="A36" s="15">
        <x:v>34</x:v>
      </x:c>
      <x:c r="B36" s="10" t="s">
        <x:v>230</x:v>
      </x:c>
      <x:c r="C36" s="10" t="s">
        <x:v>231</x:v>
      </x:c>
      <x:c r="D36" s="13">
        <x:v>-8.5630000000000006</x:v>
      </x:c>
      <x:c r="E36" s="13">
        <x:v>0.93902479410171502</x:v>
      </x:c>
      <x:c r="F36" s="15">
        <x:v>0</x:v>
      </x:c>
      <x:c r="G36" s="14">
        <x:v>313.31</x:v>
      </x:c>
      <x:c r="H36" s="14">
        <x:v>2.79</x:v>
      </x:c>
      <x:c r="I36" s="14">
        <x:v>81.7</x:v>
      </x:c>
      <x:c r="J36" s="15">
        <x:v>4</x:v>
      </x:c>
      <x:c r="K36" s="15"/>
      <x:c r="L36" s="11" t="s">
        <x:v>34</x:v>
      </x:c>
      <x:c r="M36" s="10"/>
      <x:c r="N36" s="12"/>
      <x:c r="O36" s="11" t="s">
        <x:v>78</x:v>
      </x:c>
      <x:c r="P36" s="10" t="s">
        <x:v>63</x:v>
      </x:c>
      <x:c r="Q36" s="12" t="s">
        <x:v>232</x:v>
      </x:c>
      <x:c r="R36" s="10" t="s">
        <x:v>53</x:v>
      </x:c>
      <x:c r="S36" s="11" t="s">
        <x:v>53</x:v>
      </x:c>
      <x:c r="T36" s="12"/>
      <x:c r="U36" s="11" t="s">
        <x:v>53</x:v>
      </x:c>
      <x:c r="V36" s="12"/>
      <x:c r="W36" s="11" t="s">
        <x:v>53</x:v>
      </x:c>
      <x:c r="X36" s="11" t="s">
        <x:v>53</x:v>
      </x:c>
      <x:c r="Y36" s="12"/>
      <x:c r="Z36" s="11" t="s">
        <x:v>54</x:v>
      </x:c>
      <x:c r="AA36" s="10" t="s">
        <x:v>233</x:v>
      </x:c>
      <x:c r="AB36" s="11" t="s">
        <x:v>53</x:v>
      </x:c>
      <x:c r="AC36" s="88"/>
      <x:c r="AD36" s="92"/>
      <x:c r="AE36"/>
    </x:row>
    <x:row r="37" ht="78" customHeight="1">
      <x:c r="A37" s="15">
        <x:v>35</x:v>
      </x:c>
      <x:c r="B37" s="10" t="s">
        <x:v>234</x:v>
      </x:c>
      <x:c r="C37" s="10" t="s">
        <x:v>235</x:v>
      </x:c>
      <x:c r="D37" s="13">
        <x:v>-8.5540000000000003</x:v>
      </x:c>
      <x:c r="E37" s="13">
        <x:v>0.98579888343810995</x:v>
      </x:c>
      <x:c r="F37" s="15">
        <x:v>0</x:v>
      </x:c>
      <x:c r="G37" s="14">
        <x:v>243.31</x:v>
      </x:c>
      <x:c r="H37" s="14">
        <x:v>2.5299999999999998</x:v>
      </x:c>
      <x:c r="I37" s="14">
        <x:v>38.33</x:v>
      </x:c>
      <x:c r="J37" s="15">
        <x:v>4</x:v>
      </x:c>
      <x:c r="K37" s="15">
        <x:v>2009</x:v>
      </x:c>
      <x:c r="L37" s="11" t="s">
        <x:v>34</x:v>
      </x:c>
      <x:c r="M37" s="10"/>
      <x:c r="N37" s="12"/>
      <x:c r="O37" s="11" t="s">
        <x:v>35</x:v>
      </x:c>
      <x:c r="P37" s="10" t="s">
        <x:v>63</x:v>
      </x:c>
      <x:c r="Q37" s="12" t="s">
        <x:v>236</x:v>
      </x:c>
      <x:c r="R37" s="10" t="s">
        <x:v>237</x:v>
      </x:c>
      <x:c r="S37" s="11" t="s">
        <x:v>39</x:v>
      </x:c>
      <x:c r="T37" s="12" t="s">
        <x:v>236</x:v>
      </x:c>
      <x:c r="U37" s="11" t="s">
        <x:v>41</x:v>
      </x:c>
      <x:c r="V37" s="12" t="s">
        <x:v>238</x:v>
      </x:c>
      <x:c r="W37" s="11" t="s">
        <x:v>75</x:v>
      </x:c>
      <x:c r="X37" s="11" t="s">
        <x:v>107</x:v>
      </x:c>
      <x:c r="Y37" s="12" t="s">
        <x:v>239</x:v>
      </x:c>
      <x:c r="Z37" s="11" t="s">
        <x:v>45</x:v>
      </x:c>
      <x:c r="AA37" s="10"/>
      <x:c r="AB37" s="11" t="s">
        <x:v>46</x:v>
      </x:c>
      <x:c r="AC37" s="88" t="str">
        <x:v>8/8</x:v>
      </x:c>
      <x:c r="AD37" s="94" t="n">
        <x:v>2.89</x:v>
      </x:c>
      <x:c r="AE37" t="str">
        <x:v>Preclinical studies demonstrate brain exposure and agomelatine has centrally mediated pharmacology. Direct human brain PK/occupancy evidence was not identified in this review; reported mGluR5 evidence remains indirect.</x:v>
      </x:c>
    </x:row>
    <x:row r="38" ht="95.0999984741211" customHeight="1">
      <x:c r="A38" s="15">
        <x:v>36</x:v>
      </x:c>
      <x:c r="B38" s="10" t="s">
        <x:v>240</x:v>
      </x:c>
      <x:c r="C38" s="10" t="s">
        <x:v>241</x:v>
      </x:c>
      <x:c r="D38" s="13">
        <x:v>-8.5429999999999993</x:v>
      </x:c>
      <x:c r="E38" s="13">
        <x:v>0.57720102071762103</x:v>
      </x:c>
      <x:c r="F38" s="15">
        <x:v>0</x:v>
      </x:c>
      <x:c r="G38" s="14">
        <x:v>246.31</x:v>
      </x:c>
      <x:c r="H38" s="14">
        <x:v>2.79</x:v>
      </x:c>
      <x:c r="I38" s="14">
        <x:v>54.37</x:v>
      </x:c>
      <x:c r="J38" s="15">
        <x:v>4</x:v>
      </x:c>
      <x:c r="K38" s="15"/>
      <x:c r="L38" s="11" t="s">
        <x:v>34</x:v>
      </x:c>
      <x:c r="M38" s="10"/>
      <x:c r="N38" s="12"/>
      <x:c r="O38" s="11" t="s">
        <x:v>35</x:v>
      </x:c>
      <x:c r="P38" s="10" t="s">
        <x:v>63</x:v>
      </x:c>
      <x:c r="Q38" s="12" t="s">
        <x:v>242</x:v>
      </x:c>
      <x:c r="R38" s="10" t="s">
        <x:v>243</x:v>
      </x:c>
      <x:c r="S38" s="11" t="s">
        <x:v>66</x:v>
      </x:c>
      <x:c r="T38" s="12" t="s">
        <x:v>244</x:v>
      </x:c>
      <x:c r="U38" s="11" t="s">
        <x:v>53</x:v>
      </x:c>
      <x:c r="V38" s="12"/>
      <x:c r="W38" s="11" t="s">
        <x:v>53</x:v>
      </x:c>
      <x:c r="X38" s="11" t="s">
        <x:v>53</x:v>
      </x:c>
      <x:c r="Y38" s="12"/>
      <x:c r="Z38" s="11" t="s">
        <x:v>54</x:v>
      </x:c>
      <x:c r="AA38" s="10" t="s">
        <x:v>245</x:v>
      </x:c>
      <x:c r="AB38" s="11" t="s">
        <x:v>53</x:v>
      </x:c>
      <x:c r="AC38" s="88"/>
      <x:c r="AD38" s="92"/>
      <x:c r="AE38"/>
    </x:row>
    <x:row r="39" ht="60.95000076293945" customHeight="1">
      <x:c r="A39" s="15">
        <x:v>37</x:v>
      </x:c>
      <x:c r="B39" s="10" t="s">
        <x:v>246</x:v>
      </x:c>
      <x:c r="C39" s="10" t="s">
        <x:v>247</x:v>
      </x:c>
      <x:c r="D39" s="13">
        <x:v>-8.5069999999999997</x:v>
      </x:c>
      <x:c r="E39" s="13">
        <x:v>0.92496106624603303</x:v>
      </x:c>
      <x:c r="F39" s="15">
        <x:v>0</x:v>
      </x:c>
      <x:c r="G39" s="14">
        <x:v>323.44</x:v>
      </x:c>
      <x:c r="H39" s="14">
        <x:v>3.85</x:v>
      </x:c>
      <x:c r="I39" s="14">
        <x:v>29.54</x:v>
      </x:c>
      <x:c r="J39" s="15">
        <x:v>5</x:v>
      </x:c>
      <x:c r="K39" s="15"/>
      <x:c r="L39" s="11" t="s">
        <x:v>34</x:v>
      </x:c>
      <x:c r="M39" s="10"/>
      <x:c r="N39" s="12"/>
      <x:c r="O39" s="11" t="s">
        <x:v>135</x:v>
      </x:c>
      <x:c r="P39" s="10" t="s">
        <x:v>63</x:v>
      </x:c>
      <x:c r="Q39" s="12" t="s">
        <x:v>248</x:v>
      </x:c>
      <x:c r="R39" s="10" t="s">
        <x:v>53</x:v>
      </x:c>
      <x:c r="S39" s="11" t="s">
        <x:v>53</x:v>
      </x:c>
      <x:c r="T39" s="12"/>
      <x:c r="U39" s="11" t="s">
        <x:v>53</x:v>
      </x:c>
      <x:c r="V39" s="12"/>
      <x:c r="W39" s="11" t="s">
        <x:v>53</x:v>
      </x:c>
      <x:c r="X39" s="11" t="s">
        <x:v>53</x:v>
      </x:c>
      <x:c r="Y39" s="12"/>
      <x:c r="Z39" s="11" t="s">
        <x:v>54</x:v>
      </x:c>
      <x:c r="AA39" s="10" t="s">
        <x:v>249</x:v>
      </x:c>
      <x:c r="AB39" s="11" t="s">
        <x:v>53</x:v>
      </x:c>
      <x:c r="AC39" s="88"/>
      <x:c r="AD39" s="92"/>
      <x:c r="AE39" t="s">
        <x:v>250</x:v>
      </x:c>
    </x:row>
  </x:sheetData>
  <x:mergeCells>
    <x:mergeCell ref="X1:Y1"/>
    <x:mergeCell ref="Z1:AA1"/>
    <x:mergeCell ref="AB1:AC1"/>
    <x:mergeCell ref="A1:K1"/>
    <x:mergeCell ref="L1:N1"/>
    <x:mergeCell ref="O1:Q1"/>
    <x:mergeCell ref="R1:T1"/>
    <x:mergeCell ref="U1:W1"/>
  </x:mergeCells>
  <x:conditionalFormatting sqref="S3:S39">
    <x:cfRule type="expression" dxfId="16" priority="1">
      <x:formula>S3="favorable"</x:formula>
    </x:cfRule>
    <x:cfRule type="expression" dxfId="15" priority="2">
      <x:formula>S3="caution"</x:formula>
    </x:cfRule>
    <x:cfRule type="expression" dxfId="14" priority="3">
      <x:formula>S3="unfavorable"</x:formula>
    </x:cfRule>
    <x:cfRule type="expression" dxfId="13" priority="4">
      <x:formula>S3="not_evaluated"</x:formula>
    </x:cfRule>
  </x:conditionalFormatting>
  <x:conditionalFormatting sqref="W3:W39">
    <x:cfRule type="expression" dxfId="12" priority="5">
      <x:formula>W3="pass"</x:formula>
    </x:cfRule>
    <x:cfRule type="expression" dxfId="11" priority="6">
      <x:formula>W3="caveat"</x:formula>
    </x:cfRule>
    <x:cfRule type="expression" dxfId="10" priority="7">
      <x:formula>W3="fail"</x:formula>
    </x:cfRule>
    <x:cfRule type="expression" dxfId="9" priority="8">
      <x:formula>W3="not_evaluated"</x:formula>
    </x:cfRule>
  </x:conditionalFormatting>
  <x:conditionalFormatting sqref="Z3:Z39">
    <x:cfRule type="expression" dxfId="8" priority="9">
      <x:formula>Z3="eligible"</x:formula>
    </x:cfRule>
    <x:cfRule type="expression" dxfId="7" priority="10">
      <x:formula>Z3="excluded"</x:formula>
    </x:cfRule>
  </x:conditionalFormatting>
  <x:conditionalFormatting sqref="AB3:AB39">
    <x:cfRule type="expression" dxfId="6" priority="11">
      <x:formula>AB3="coherent"</x:formula>
    </x:cfRule>
    <x:cfRule type="expression" dxfId="5" priority="12">
      <x:formula>AB3="questionable"</x:formula>
    </x:cfRule>
    <x:cfRule type="expression" dxfId="4" priority="13">
      <x:formula>AB3="unfavorable"</x:formula>
    </x:cfRule>
    <x:cfRule type="expression" dxfId="3" priority="14">
      <x:formula>AB3="not_evaluated"</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30" customWidth="1"/>
    <x:col min="2" max="2" width="17" customWidth="1"/>
    <x:col min="3" max="3" width="13.125" customWidth="1"/>
    <x:col min="4" max="4" width="21.625" customWidth="1"/>
    <x:col min="5" max="5" width="20" customWidth="1"/>
    <x:col min="6" max="6" width="37.5" customWidth="1"/>
  </x:cols>
  <x:sheetData>
    <x:row r="1" ht="32.099998474121094" customHeight="1">
      <x:c r="A1" s="1" t="s">
        <x:v>251</x:v>
      </x:c>
      <x:c r="B1" s="1" t="s">
        <x:v>252</x:v>
      </x:c>
      <x:c r="D1" s="1" t="s">
        <x:v>253</x:v>
      </x:c>
      <x:c r="E1" s="1" t="s">
        <x:v>254</x:v>
      </x:c>
      <x:c r="F1" s="1" t="s">
        <x:v>255</x:v>
      </x:c>
    </x:row>
    <x:row r="2" ht="15" customHeight="1">
      <x:c r="A2" s="10" t="s">
        <x:v>256</x:v>
      </x:c>
      <x:c r="B2" s="10">
        <x:v>1477</x:v>
      </x:c>
      <x:c r="D2" s="10" t="s">
        <x:v>257</x:v>
      </x:c>
      <x:c r="E2" s="10">
        <x:v>37</x:v>
      </x:c>
      <x:c r="F2" s="10" t="s">
        <x:v>258</x:v>
      </x:c>
    </x:row>
    <x:row r="3" ht="15" customHeight="1">
      <x:c r="A3" s="10" t="s">
        <x:v>259</x:v>
      </x:c>
      <x:c r="B3" s="10">
        <x:v>-8.5</x:v>
      </x:c>
      <x:c r="D3" s="10" t="s">
        <x:v>260</x:v>
      </x:c>
      <x:c r="E3" s="10">
        <x:v>32</x:v>
      </x:c>
      <x:c r="F3" s="10" t="s">
        <x:v>261</x:v>
      </x:c>
    </x:row>
    <x:row r="4" ht="15" customHeight="1">
      <x:c r="A4" s="10" t="s">
        <x:v>262</x:v>
      </x:c>
      <x:c r="B4" s="10">
        <x:v>37</x:v>
      </x:c>
      <x:c r="D4" s="10" t="s">
        <x:v>263</x:v>
      </x:c>
      <x:c r="E4" s="10">
        <x:v>21</x:v>
      </x:c>
      <x:c r="F4" s="10" t="s">
        <x:v>264</x:v>
      </x:c>
    </x:row>
    <x:row r="5" ht="15" customHeight="1">
      <x:c r="A5" s="10" t="s">
        <x:v>265</x:v>
      </x:c>
      <x:c r="B5" s="16">
        <x:v>2.5050778605280974E-2</x:v>
      </x:c>
      <x:c r="D5" s="10" t="s">
        <x:v>266</x:v>
      </x:c>
      <x:c r="E5" s="10">
        <x:v>8</x:v>
      </x:c>
      <x:c r="F5" s="10" t="s">
        <x:v>267</x:v>
      </x:c>
    </x:row>
    <x:row r="6" ht="15" customHeight="1">
      <x:c r="A6" s="10" t="s">
        <x:v>268</x:v>
      </x:c>
      <x:c r="B6" s="10">
        <x:v>5</x:v>
      </x:c>
      <x:c r="D6" s="10" t="s">
        <x:v>269</x:v>
      </x:c>
      <x:c r="E6" s="10">
        <x:v>8</x:v>
      </x:c>
      <x:c r="F6" s="10" t="s">
        <x:v>270</x:v>
      </x:c>
    </x:row>
    <x:row r="7" ht="15" customHeight="1">
      <x:c r="A7" s="10" t="s">
        <x:v>271</x:v>
      </x:c>
      <x:c r="B7" s="10">
        <x:v>11</x:v>
      </x:c>
      <x:c r="D7" s="10" t="s">
        <x:v>272</x:v>
      </x:c>
      <x:c r="E7" s="10">
        <x:v>8</x:v>
      </x:c>
      <x:c r="F7" s="10" t="s">
        <x:v>273</x:v>
      </x:c>
    </x:row>
    <x:row r="8" ht="15" customHeight="1">
      <x:c r="A8" s="10" t="s">
        <x:v>274</x:v>
      </x:c>
      <x:c r="B8" s="10">
        <x:v>13</x:v>
      </x:c>
    </x:row>
    <x:row r="9" ht="15" customHeight="1">
      <x:c r="A9" s="10" t="s">
        <x:v>275</x:v>
      </x:c>
      <x:c r="B9" s="10">
        <x:v>0</x:v>
      </x:c>
    </x:row>
    <x:row r="10" ht="15" customHeight="1">
      <x:c r="A10" s="10" t="s">
        <x:v>276</x:v>
      </x:c>
      <x:c r="B10" s="10">
        <x:v>8</x:v>
      </x:c>
    </x:row>
    <x:row r="11" ht="15" customHeight="1">
      <x:c r="A11" s="10" t="s">
        <x:v>277</x:v>
      </x:c>
      <x:c r="B11" s="10">
        <x:v>8</x:v>
      </x:c>
    </x:row>
    <x:row r="14" ht="24" customHeight="1">
      <x:c r="A14" s="21"/>
      <x:c r="B14" s="21"/>
      <x:c r="C14" s="21"/>
      <x:c r="D14" s="21"/>
      <x:c r="E14" s="21"/>
      <x:c r="F14" s="21"/>
    </x:row>
    <x:row r="15" ht="24" customHeight="1">
      <x:c r="A15" s="10"/>
      <x:c r="B15" s="10"/>
      <x:c r="C15" s="10"/>
      <x:c r="D15" s="10"/>
      <x:c r="E15" s="10"/>
      <x:c r="F15" s="10"/>
    </x:row>
    <x:row r="16" ht="24" customHeight="1">
      <x:c r="A16" s="10"/>
      <x:c r="B16" s="10"/>
      <x:c r="C16" s="10"/>
      <x:c r="D16" s="10"/>
      <x:c r="E16" s="10"/>
      <x:c r="F16" s="10"/>
    </x:row>
    <x:row r="17" ht="24" customHeight="1">
      <x:c r="A17" s="10"/>
      <x:c r="B17" s="10"/>
      <x:c r="C17" s="10"/>
      <x:c r="D17" s="10"/>
      <x:c r="E17" s="10"/>
      <x:c r="F17" s="10"/>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1" customWidth="1"/>
    <x:col min="2" max="2" width="70" customWidth="1"/>
    <x:col min="3" max="3" width="78" customWidth="1"/>
    <x:col min="4" max="4" width="12" customWidth="1"/>
  </x:cols>
  <x:sheetData>
    <x:row r="1" ht="33.95000076293945" customHeight="1">
      <x:c r="A1" s="1" t="s">
        <x:v>278</x:v>
      </x:c>
      <x:c r="B1" s="1" t="s">
        <x:v>279</x:v>
      </x:c>
      <x:c r="C1" s="1" t="s">
        <x:v>280</x:v>
      </x:c>
      <x:c r="D1" s="1" t="s">
        <x:v>281</x:v>
      </x:c>
    </x:row>
    <x:row r="2" ht="15" customHeight="1">
      <x:c r="A2" s="10" t="s">
        <x:v>257</x:v>
      </x:c>
      <x:c r="B2" s="10" t="s">
        <x:v>282</x:v>
      </x:c>
      <x:c r="C2" s="10" t="s">
        <x:v>283</x:v>
      </x:c>
      <x:c r="D2" s="10">
        <x:v>37</x:v>
      </x:c>
    </x:row>
    <x:row r="3" ht="24" customHeight="1">
      <x:c r="A3" s="10" t="s">
        <x:v>284</x:v>
      </x:c>
      <x:c r="B3" s="10" t="s">
        <x:v>285</x:v>
      </x:c>
      <x:c r="C3" s="10" t="s">
        <x:v>286</x:v>
      </x:c>
      <x:c r="D3" s="10">
        <x:v>32</x:v>
      </x:c>
    </x:row>
    <x:row r="4" ht="24" customHeight="1">
      <x:c r="A4" s="10" t="s">
        <x:v>287</x:v>
      </x:c>
      <x:c r="B4" s="10" t="s">
        <x:v>288</x:v>
      </x:c>
      <x:c r="C4" s="10" t="s">
        <x:v>289</x:v>
      </x:c>
      <x:c r="D4" s="10">
        <x:v>21</x:v>
      </x:c>
    </x:row>
    <x:row r="5" ht="24" customHeight="1">
      <x:c r="A5" s="10" t="s">
        <x:v>290</x:v>
      </x:c>
      <x:c r="B5" s="10" t="s">
        <x:v>291</x:v>
      </x:c>
      <x:c r="C5" s="10" t="s">
        <x:v>292</x:v>
      </x:c>
      <x:c r="D5" s="10">
        <x:v>8</x:v>
      </x:c>
    </x:row>
    <x:row r="6" ht="36" customHeight="1">
      <x:c r="A6" s="10" t="s">
        <x:v>293</x:v>
      </x:c>
      <x:c r="B6" s="10" t="s">
        <x:v>294</x:v>
      </x:c>
      <x:c r="C6" s="10" t="s">
        <x:v>295</x:v>
      </x:c>
      <x:c r="D6" s="10">
        <x:v>8</x:v>
      </x:c>
    </x:row>
    <x:row r="7" ht="24" customHeight="1">
      <x:c r="A7" s="10" t="s">
        <x:v>296</x:v>
      </x:c>
      <x:c r="B7" s="10" t="s">
        <x:v>297</x:v>
      </x:c>
      <x:c r="C7" s="10" t="s">
        <x:v>298</x:v>
      </x:c>
      <x:c r="D7" s="10">
        <x:v>8</x:v>
      </x:c>
    </x:row>
    <x:row r="9" ht="21.600000381469727" customHeight="1">
      <x:c r="A9" s="17" t="s">
        <x:v>299</x:v>
      </x:c>
      <x:c r="B9" s="17" t="s">
        <x:v>300</x:v>
      </x:c>
      <x:c r="C9" s="17" t="s">
        <x:v>301</x:v>
      </x:c>
      <x:c r="D9" s="17"/>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7" hidden="0" customWidth="1"/>
    <x:col min="2" max="2" width="18" hidden="0" customWidth="1"/>
    <x:col min="3" max="3" width="34" hidden="0" customWidth="1"/>
    <x:col min="4" max="4" width="18" hidden="0" customWidth="1"/>
    <x:col min="5" max="5" width="42" hidden="0" customWidth="1"/>
    <x:col min="6" max="7" width="16" customWidth="1"/>
    <x:col min="8" max="8" width="16" hidden="0" customWidth="1"/>
    <x:col min="9" max="9" width="42" hidden="0" customWidth="1"/>
    <x:col min="10" max="10" width="16" customWidth="1"/>
    <x:col min="11" max="11" width="17" customWidth="1"/>
    <x:col min="12" max="12" width="72" customWidth="1"/>
    <x:col min="6" max="6" width="20" hidden="0" customWidth="1"/>
    <x:col min="7" max="7" width="48" hidden="0" customWidth="1"/>
  </x:cols>
  <x:sheetData>
    <x:row r="1" ht="15" hidden="0" customHeight="1">
      <x:c r="A1" s="289" t="str">
        <x:v>Drug</x:v>
      </x:c>
      <x:c r="B1" s="289" t="str">
        <x:v>ChEMBL ID</x:v>
      </x:c>
      <x:c r="C1" s="289" t="str">
        <x:v>Approved clinical use</x:v>
      </x:c>
      <x:c r="D1" s="289" t="str">
        <x:v>CNS evidence profile</x:v>
      </x:c>
      <x:c r="E1" s="289" t="str">
        <x:v>CNS evidence basis</x:v>
      </x:c>
      <x:c r="F1" s="289" t="str">
        <x:v>DLB chronic-use caution</x:v>
      </x:c>
      <x:c r="G1" s="289" t="str">
        <x:v>Main chronic-use concern</x:v>
      </x:c>
      <x:c r="H1" s="289" t="str">
        <x:v>Final priority</x:v>
      </x:c>
      <x:c r="I1" s="289" t="str">
        <x:v>Indication source</x:v>
      </x:c>
      <x:c r="J1"/>
      <x:c r="K1"/>
      <x:c r="L1"/>
    </x:row>
    <x:row r="2" ht="52.79999923706055" hidden="0" customHeight="1">
      <x:c r="A2" s="108" t="str">
        <x:v>FLUOXETINE</x:v>
      </x:c>
      <x:c r="B2" s="108" t="str">
        <x:v>CHEMBL41</x:v>
      </x:c>
      <x:c r="C2" s="108" t="str">
        <x:v>Major depressive disorder, obsessive-compulsive disorder, bulimia nervosa and panic disorder.</x:v>
      </x:c>
      <x:c r="D2" s="324" t="str">
        <x:v>Favorable</x:v>
      </x:c>
      <x:c r="E2" s="108" t="str">
        <x:v>Human brain/CNS exposure has been directly demonstrated.</x:v>
      </x:c>
      <x:c r="F2" s="324" t="str">
        <x:v>Manageable</x:v>
      </x:c>
      <x:c r="G2" s="108" t="str">
        <x:v>Hyponatremia/SIADH and fall-related risks are relevant in older adults but are generally monitorable and were considered manageable for chronic use. QT prolongation is an additional caution.</x:v>
      </x:c>
      <x:c r="H2" s="324" t="str">
        <x:f>IF(OR(D2="Concerning",AND(D2="Limited",F2="Major")),"lower",IF(AND(D2="Favorable",F2="Manageable"),"higher","intermediate"))</x:f>
        <x:v>higher</x:v>
      </x:c>
      <x:c r="I2" s="108" t="str">
        <x:v>https://www.dailymed.nlm.nih.gov/dailymed/drugInfo.cfm?setid=851c4cfb-e1f0-4087-b13d-c07c25fea37d</x:v>
      </x:c>
      <x:c r="J2"/>
      <x:c r="K2"/>
      <x:c r="L2"/>
    </x:row>
    <x:row r="3" ht="39.599998474121094" hidden="0" customHeight="1">
      <x:c r="A3" s="108" t="str">
        <x:v>PROPRANOLOL</x:v>
      </x:c>
      <x:c r="B3" s="108" t="str">
        <x:v>CHEMBL27</x:v>
      </x:c>
      <x:c r="C3" s="108" t="str">
        <x:v>Hypertension and other cardiovascular indications, migraine prophylaxis and essential tremor.</x:v>
      </x:c>
      <x:c r="D3" s="324" t="str">
        <x:v>Favorable</x:v>
      </x:c>
      <x:c r="E3" s="108" t="str">
        <x:v>Human labeling explicitly states that propranolol crosses the BBB.</x:v>
      </x:c>
      <x:c r="F3" s="325" t="str">
        <x:v>Major</x:v>
      </x:c>
      <x:c r="G3" s="108" t="str">
        <x:v>Bradycardia and hypotension may worsen autonomic dysfunction, orthostatic symptoms and fall vulnerability in DLB.</x:v>
      </x:c>
      <x:c r="H3" s="326" t="str">
        <x:f>IF(OR(D3="Concerning",AND(D3="Limited",F3="Major")),"lower",IF(AND(D3="Favorable",F3="Manageable"),"higher","intermediate"))</x:f>
        <x:v>intermediate</x:v>
      </x:c>
      <x:c r="I3" s="108" t="str">
        <x:v>https://dailymed.nlm.nih.gov/dailymed/drugInfo.cfm?setid=52da1afc-7f1c-4893-ab84-8479dd939951</x:v>
      </x:c>
      <x:c r="J3"/>
      <x:c r="K3"/>
      <x:c r="L3"/>
    </x:row>
    <x:row r="4" ht="39.599998474121094" hidden="0" customHeight="1">
      <x:c r="A4" s="108" t="str">
        <x:v>GEMFIBROZIL</x:v>
      </x:c>
      <x:c r="B4" s="108" t="str">
        <x:v>CHEMBL457</x:v>
      </x:c>
      <x:c r="C4" s="108" t="str">
        <x:v>Severe hypertriglyceridemia and selected Type IIb dyslipidemia.</x:v>
      </x:c>
      <x:c r="D4" s="326" t="str">
        <x:v>Limited</x:v>
      </x:c>
      <x:c r="E4" s="108" t="str">
        <x:v>Brain exposure has been demonstrated in mice, but no direct human brain-bioavailability evidence was identified.</x:v>
      </x:c>
      <x:c r="F4" s="324" t="str">
        <x:v>Manageable</x:v>
      </x:c>
      <x:c r="G4" s="108" t="str">
        <x:v>Drug interactions can increase myopathy/rhabdomyolysis risk. This is generally manageable with medication review and avoidance of interacting combinations.</x:v>
      </x:c>
      <x:c r="H4" s="326" t="str">
        <x:f>IF(OR(D4="Concerning",AND(D4="Limited",F4="Major")),"lower",IF(AND(D4="Favorable",F4="Manageable"),"higher","intermediate"))</x:f>
        <x:v>intermediate</x:v>
      </x:c>
      <x:c r="I4" s="108" t="str">
        <x:v>https://dailymed.nlm.nih.gov/dailymed/fda/fdaDrugXsl.cfm?setid=c48855b7-215e-453b-b3b1-a0f9dee7221f</x:v>
      </x:c>
      <x:c r="J4"/>
      <x:c r="K4"/>
      <x:c r="L4"/>
    </x:row>
    <x:row r="5" ht="39.599998474121094" hidden="0" customHeight="1">
      <x:c r="A5" s="108" t="str">
        <x:v>VORASIDENIB</x:v>
      </x:c>
      <x:c r="B5" s="108" t="str">
        <x:v>CHEMBL4279047</x:v>
      </x:c>
      <x:c r="C5" s="108" t="str">
        <x:v>Grade 2 IDH1/IDH2-mutant astrocytoma or oligodendroglioma after surgery.</x:v>
      </x:c>
      <x:c r="D5" s="324" t="str">
        <x:v>Favorable</x:v>
      </x:c>
      <x:c r="E5" s="108" t="str">
        <x:v>Human glioma-tissue penetration and target engagement have been demonstrated, supported by preclinical normal-brain penetration.</x:v>
      </x:c>
      <x:c r="F5" s="325" t="str">
        <x:v>Major</x:v>
      </x:c>
      <x:c r="G5" s="108" t="str">
        <x:v>Clinically important hepatotoxicity requires frequent and prolonged liver-function monitoring.</x:v>
      </x:c>
      <x:c r="H5" s="326" t="str">
        <x:f>IF(OR(D5="Concerning",AND(D5="Limited",F5="Major")),"lower",IF(AND(D5="Favorable",F5="Manageable"),"higher","intermediate"))</x:f>
        <x:v>intermediate</x:v>
      </x:c>
      <x:c r="I5" s="108" t="str">
        <x:v>https://www.accessdata.fda.gov/drugsatfda_docs/label/2026/218784s004lbl.pdf</x:v>
      </x:c>
      <x:c r="J5"/>
      <x:c r="K5"/>
      <x:c r="L5"/>
    </x:row>
    <x:row r="6" ht="39.599998474121094" hidden="0" customHeight="1">
      <x:c r="A6" s="108" t="str">
        <x:v>AGOMELATINE</x:v>
      </x:c>
      <x:c r="B6" s="108" t="str">
        <x:v>CHEMBL10878</x:v>
      </x:c>
      <x:c r="C6" s="108" t="str">
        <x:v>Major depressive episodes in adults.</x:v>
      </x:c>
      <x:c r="D6" s="324" t="str">
        <x:v>Favorable</x:v>
      </x:c>
      <x:c r="E6" s="108" t="str">
        <x:v>Preclinical PK demonstrates brain exposure and its approved pharmacology is centrally mediated. Direct human brain PK was not identified.</x:v>
      </x:c>
      <x:c r="F6" s="325" t="str">
        <x:v>Major</x:v>
      </x:c>
      <x:c r="G6" s="108" t="str">
        <x:v>Hepatotoxicity requires scheduled liver monitoring, with additional age-related limitations relevant to an older DLB population.</x:v>
      </x:c>
      <x:c r="H6" s="326" t="str">
        <x:f>IF(OR(D6="Concerning",AND(D6="Limited",F6="Major")),"lower",IF(AND(D6="Favorable",F6="Manageable"),"higher","intermediate"))</x:f>
        <x:v>intermediate</x:v>
      </x:c>
      <x:c r="I6" s="108" t="str">
        <x:v>https://www.ema.europa.eu/en/medicines/human/EPAR/valdoxan</x:v>
      </x:c>
      <x:c r="J6"/>
      <x:c r="K6"/>
      <x:c r="L6"/>
    </x:row>
    <x:row r="7" ht="52.79999923706055" hidden="0" customHeight="1">
      <x:c r="A7" s="108" t="str">
        <x:v>TERIFLUNOMIDE</x:v>
      </x:c>
      <x:c r="B7" s="108" t="str">
        <x:v>CHEMBL973</x:v>
      </x:c>
      <x:c r="C7" s="108" t="str">
        <x:v>Relapsing forms of multiple sclerosis.</x:v>
      </x:c>
      <x:c r="D7" s="326" t="str">
        <x:v>Limited</x:v>
      </x:c>
      <x:c r="E7" s="108" t="str">
        <x:v>Teriflunomide is measurable in human CSF, confirming CNS entry, but CSF concentrations are low relative to total plasma concentrations and the magnitude of brain exposure remains uncertain.</x:v>
      </x:c>
      <x:c r="F7" s="325" t="str">
        <x:v>Major</x:v>
      </x:c>
      <x:c r="G7" s="108" t="str">
        <x:v>Potentially serious hepatotoxicity requiring liver monitoring, plus very prolonged persistence and possible need for accelerated elimination.</x:v>
      </x:c>
      <x:c r="H7" s="325" t="str">
        <x:f>IF(OR(D7="Concerning",AND(D7="Limited",F7="Major")),"lower",IF(AND(D7="Favorable",F7="Manageable"),"higher","intermediate"))</x:f>
        <x:v>lower</x:v>
      </x:c>
      <x:c r="I7" s="108" t="str">
        <x:v>https://www.accessdata.fda.gov/drugsatfda_docs/label/2026/202992s018lbl.pdf</x:v>
      </x:c>
      <x:c r="J7"/>
      <x:c r="K7"/>
      <x:c r="L7"/>
    </x:row>
    <x:row r="8" ht="39.599998474121094" hidden="0" customHeight="1">
      <x:c r="A8" s="108" t="str">
        <x:v>RAMOSETRON</x:v>
      </x:c>
      <x:c r="B8" s="108" t="str">
        <x:v>CHEMBL1643895</x:v>
      </x:c>
      <x:c r="C8" s="108" t="str">
        <x:v>Chemotherapy-induced nausea and vomiting and diarrhea-predominant irritable bowel syndrome (Japan).</x:v>
      </x:c>
      <x:c r="D8" s="325" t="str">
        <x:v>Concerning</x:v>
      </x:c>
      <x:c r="E8" s="108" t="str">
        <x:v>Animal PK indicates extremely low brain distribution, potentially related to P-gp efflux.</x:v>
      </x:c>
      <x:c r="F8" s="324" t="str">
        <x:v>Manageable</x:v>
      </x:c>
      <x:c r="G8" s="108" t="str">
        <x:v>Constipation/hard stool may aggravate gastrointestinal autonomic dysfunction in DLB, but no major systemic chronic-toxicity signal was identified in the reviewed data.</x:v>
      </x:c>
      <x:c r="H8" s="325" t="str">
        <x:f>IF(OR(D8="Concerning",AND(D8="Limited",F8="Major")),"lower",IF(AND(D8="Favorable",F8="Manageable"),"higher","intermediate"))</x:f>
        <x:v>lower</x:v>
      </x:c>
      <x:c r="I8" s="108" t="str">
        <x:v>https://www.pmda.go.jp/files/000216189.pdf</x:v>
      </x:c>
      <x:c r="J8"/>
      <x:c r="K8"/>
      <x:c r="L8"/>
    </x:row>
    <x:row r="9" ht="39.599998474121094" hidden="0" customHeight="1">
      <x:c r="A9" s="108" t="str">
        <x:v>PEMIROLAST</x:v>
      </x:c>
      <x:c r="B9" s="108" t="str">
        <x:v>CHEMBL1201198</x:v>
      </x:c>
      <x:c r="C9" s="108" t="str">
        <x:v>Bronchial asthma and allergic rhinitis (oral use, Japan).</x:v>
      </x:c>
      <x:c r="D9" s="325" t="str">
        <x:v>Concerning</x:v>
      </x:c>
      <x:c r="E9" s="108" t="str">
        <x:v>Direct human brain exposure was not identified and NCATS classifies pemirolast as CNS non-penetrant.</x:v>
      </x:c>
      <x:c r="F9" s="324" t="str">
        <x:v>Manageable</x:v>
      </x:c>
      <x:c r="G9" s="108" t="str">
        <x:v>Somnolence may increase fall vulnerability. Liver-enzyme elevations and gastrointestinal adverse effects are additional manageable concerns.</x:v>
      </x:c>
      <x:c r="H9" s="325" t="str">
        <x:f>IF(OR(D9="Concerning",AND(D9="Limited",F9="Major")),"lower",IF(AND(D9="Favorable",F9="Manageable"),"higher","intermediate"))</x:f>
        <x:v>lower</x:v>
      </x:c>
      <x:c r="I9" s="108" t="str">
        <x:v>https://www.pmda.go.jp/PmdaSearch/iyakuDetail/ResultDataSetPDF/581120_4490011F1129_1_03</x:v>
      </x:c>
      <x:c r="J9"/>
      <x:c r="K9"/>
      <x:c r="L9"/>
    </x:row>
    <x:row r="10" ht="15" hidden="0" customHeight="1">
      <x:c r="A10"/>
      <x:c r="B10"/>
      <x:c r="C10"/>
      <x:c r="D10"/>
      <x:c r="E10"/>
      <x:c r="F10"/>
      <x:c r="G10"/>
    </x:row>
    <x:row r="11" ht="15" hidden="0" customHeight="1">
      <x:c r="A11" s="300" t="str">
        <x:v>FINAL PRIORITY RULES</x:v>
      </x:c>
      <x:c r="B11" s="300"/>
      <x:c r="C11" s="300"/>
      <x:c r="D11" s="300"/>
      <x:c r="E11" s="300"/>
      <x:c r="F11" s="300"/>
      <x:c r="G11" s="300"/>
      <x:c r="H11" s="300"/>
      <x:c r="I11" s="300"/>
      <x:c r="J11"/>
      <x:c r="K11"/>
      <x:c r="L11"/>
    </x:row>
    <x:row r="12" ht="15" hidden="0" customHeight="1">
      <x:c r="A12" s="305" t="str">
        <x:v>Higher</x:v>
      </x:c>
      <x:c r="B12" s="108" t="str">
        <x:v>Favorable CNS profile + Manageable chronic-use caution.</x:v>
      </x:c>
      <x:c r="C12" s="108"/>
      <x:c r="D12" s="108"/>
      <x:c r="E12" s="108"/>
      <x:c r="F12" s="108"/>
      <x:c r="G12" s="108"/>
      <x:c r="H12" s="108"/>
      <x:c r="I12" s="108"/>
    </x:row>
    <x:row r="13" ht="15" hidden="0" customHeight="1">
      <x:c r="A13" s="310" t="str">
        <x:v>Intermediate</x:v>
      </x:c>
      <x:c r="B13" s="108" t="str">
        <x:v>Favorable CNS profile + Major caution, OR Limited CNS profile + Manageable caution.</x:v>
      </x:c>
      <x:c r="C13" s="108"/>
      <x:c r="D13" s="108"/>
      <x:c r="E13" s="108"/>
      <x:c r="F13" s="108"/>
      <x:c r="G13" s="108"/>
      <x:c r="H13" s="108"/>
      <x:c r="I13" s="108"/>
    </x:row>
    <x:row r="14" ht="15" hidden="0" customHeight="1">
      <x:c r="A14" s="315" t="str">
        <x:v>Lower</x:v>
      </x:c>
      <x:c r="B14" s="108" t="str">
        <x:v>Concerning CNS profile regardless of caution, OR Limited CNS profile + Major caution.</x:v>
      </x:c>
      <x:c r="C14" s="108"/>
      <x:c r="D14" s="108"/>
      <x:c r="E14" s="108"/>
      <x:c r="F14" s="108"/>
      <x:c r="G14" s="108"/>
      <x:c r="H14" s="108"/>
      <x:c r="I14" s="108"/>
    </x:row>
    <x:row r="15" ht="15" hidden="0" customHeight="1">
      <x:c r="A15"/>
      <x:c r="B15"/>
      <x:c r="C15"/>
      <x:c r="D15"/>
      <x:c r="E15"/>
      <x:c r="F15"/>
      <x:c r="G15"/>
    </x:row>
    <x:row r="16" ht="15" hidden="0" customHeight="1">
      <x:c r="A16" s="319" t="str">
        <x:v>DEFINITIONS</x:v>
      </x:c>
      <x:c r="B16" s="319"/>
      <x:c r="C16" s="319"/>
      <x:c r="D16" s="319"/>
      <x:c r="E16" s="319"/>
      <x:c r="F16" s="319"/>
      <x:c r="G16" s="319"/>
      <x:c r="H16" s="319"/>
      <x:c r="I16" s="319"/>
    </x:row>
    <x:row r="17" ht="15" hidden="0" customHeight="1">
      <x:c r="A17" s="156" t="str">
        <x:v>CNS — Favorable</x:v>
      </x:c>
      <x:c r="B17" s="108" t="str">
        <x:v>The overall evidence supports plausible meaningful CNS/brain exposure. This may be based on direct human evidence or strong convergent preclinical/central-pharmacology evidence.</x:v>
      </x:c>
      <x:c r="C17" s="108"/>
      <x:c r="D17" s="108"/>
      <x:c r="E17" s="108"/>
      <x:c r="F17" s="108"/>
      <x:c r="G17" s="108"/>
      <x:c r="H17" s="108"/>
      <x:c r="I17" s="108"/>
    </x:row>
    <x:row r="18" ht="15" hidden="0" customHeight="1">
      <x:c r="A18" s="156" t="str">
        <x:v>CNS — Limited</x:v>
      </x:c>
      <x:c r="B18" s="108" t="str">
        <x:v>Some CNS exposure is supported, but the magnitude, human translation or relevance for effective brain exposure remains uncertain.</x:v>
      </x:c>
      <x:c r="C18" s="108"/>
      <x:c r="D18" s="108"/>
      <x:c r="E18" s="108"/>
      <x:c r="F18" s="108"/>
      <x:c r="G18" s="108"/>
      <x:c r="H18" s="108"/>
      <x:c r="I18" s="108"/>
    </x:row>
    <x:row r="19" ht="15" hidden="0" customHeight="1">
      <x:c r="A19" s="156" t="str">
        <x:v>CNS — Concerning</x:v>
      </x:c>
      <x:c r="B19" s="108" t="str">
        <x:v>Reviewed evidence specifically suggests poor/very low CNS exposure, but is insufficient for an HF4 hard exclusion.</x:v>
      </x:c>
      <x:c r="C19" s="108"/>
      <x:c r="D19" s="108"/>
      <x:c r="E19" s="108"/>
      <x:c r="F19" s="108"/>
      <x:c r="G19" s="108"/>
      <x:c r="H19" s="108"/>
      <x:c r="I19" s="108"/>
    </x:row>
    <x:row r="20" ht="26.399999618530273" hidden="0" customHeight="1">
      <x:c r="A20" s="156" t="str">
        <x:v>DLB caution — Manageable</x:v>
      </x:c>
      <x:c r="B20" s="108" t="str">
        <x:v>Relevant risks are monitorable/non-prohibitive and were considered compatible with chronic repurposing.</x:v>
      </x:c>
      <x:c r="C20" s="108"/>
      <x:c r="D20" s="108"/>
      <x:c r="E20" s="108"/>
      <x:c r="F20" s="108"/>
      <x:c r="G20" s="108"/>
      <x:c r="H20" s="108"/>
      <x:c r="I20" s="108"/>
    </x:row>
    <x:row r="21" ht="15" hidden="0" customHeight="1">
      <x:c r="A21" s="156" t="str">
        <x:v>DLB caution — Major</x:v>
      </x:c>
      <x:c r="B21" s="108" t="str">
        <x:v>Important DLB-relevant safety or monitoring burden, but not severe enough to fail HF3.</x:v>
      </x:c>
      <x:c r="C21" s="108"/>
      <x:c r="D21" s="108"/>
      <x:c r="E21" s="108"/>
      <x:c r="F21" s="108"/>
      <x:c r="G21" s="108"/>
      <x:c r="H21" s="108"/>
      <x:c r="I21" s="108"/>
    </x:row>
    <x:row r="22" ht="15" hidden="0" customHeight="1">
      <x:c r="A22"/>
      <x:c r="B22"/>
      <x:c r="C22"/>
      <x:c r="D22"/>
      <x:c r="E22"/>
      <x:c r="F22"/>
      <x:c r="G22"/>
    </x:row>
    <x:row r="23" ht="15" hidden="0" customHeight="1">
      <x:c r="A23" s="323" t="str">
        <x:v>ABBREVIATIONS</x:v>
      </x:c>
      <x:c r="B23" s="323"/>
      <x:c r="C23" s="323"/>
      <x:c r="D23" s="323"/>
      <x:c r="E23" s="323"/>
      <x:c r="F23" s="323"/>
      <x:c r="G23" s="323"/>
      <x:c r="H23" s="323"/>
      <x:c r="I23" s="323"/>
    </x:row>
    <x:row r="24" ht="15" hidden="0" customHeight="1">
      <x:c r="A24" s="276" t="str">
        <x:v>SIADH, syndrome of inappropriate antidiuretic hormone secretion. QT, electrocardiographic QT interval. CSF, cerebrospinal fluid. PK, pharmacokinetics. P-gp, P-glycoprotein. IDH, isocitrate dehydrogenase.</x:v>
      </x:c>
      <x:c r="B24" s="276"/>
      <x:c r="C24" s="276"/>
      <x:c r="D24" s="276"/>
      <x:c r="E24" s="276"/>
      <x:c r="F24" s="276"/>
      <x:c r="G24" s="276"/>
      <x:c r="H24" s="276"/>
      <x:c r="I24" s="276"/>
    </x:row>
  </x:sheetData>
  <x:mergeCells>
    <x:mergeCell ref="B12:G12"/>
    <x:mergeCell ref="B13:G13"/>
    <x:mergeCell ref="B14:G14"/>
    <x:mergeCell ref="B17:G17"/>
    <x:mergeCell ref="B18:G18"/>
    <x:mergeCell ref="B19:G19"/>
    <x:mergeCell ref="B20:G20"/>
    <x:mergeCell ref="B21:G21"/>
    <x:mergeCell ref="A24:G24"/>
    <x:mergeCell ref="B12:I12"/>
    <x:mergeCell ref="B13:I13"/>
    <x:mergeCell ref="B14:I14"/>
    <x:mergeCell ref="B17:I17"/>
    <x:mergeCell ref="B18:I18"/>
    <x:mergeCell ref="B19:I19"/>
    <x:mergeCell ref="B20:I20"/>
    <x:mergeCell ref="B21:I21"/>
    <x:mergeCell ref="A24:I24"/>
  </x:mergeCells>
  <x:conditionalFormatting sqref="K2:K9">
    <x:cfRule type="expression" dxfId="2" priority="1">
      <x:formula>K2="higher"</x:formula>
    </x:cfRule>
    <x:cfRule type="expression" dxfId="1" priority="2">
      <x:formula>K2="intermediate"</x:formula>
    </x:cfRule>
    <x:cfRule type="expression" dxfId="0" priority="3">
      <x:formula>K2="lower"</x:formula>
    </x:cfRule>
  </x:conditionalFormatting>
  <x:dataValidations count="4">
    <x:dataValidation type="list" sqref="C2:C9">
      <x:formula1>"Favorable,Limited,Concerning"</x:formula1>
    </x:dataValidation>
    <x:dataValidation type="list" sqref="E2:E9">
      <x:formula1>"Manageable,Major"</x:formula1>
    </x:dataValidation>
    <x:dataValidation type="list" sqref="D2:D9">
      <x:formula1>"Favorable,Limited,Concerning"</x:formula1>
    </x:dataValidation>
    <x:dataValidation type="list" sqref="F2:F9">
      <x:formula1>"Manageable,Major"</x:formula1>
    </x:dataValidation>
  </x:dataValidations>
  <x:pageMargins left="0.7" right="0.7" top="0.75" bottom="0.75" header="0.3" footer="0.3"/>
</x:worksheet>
</file>